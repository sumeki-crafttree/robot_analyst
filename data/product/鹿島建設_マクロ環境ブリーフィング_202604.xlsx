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マクロ環境ダッシュボード" sheetId="1" state="visible" r:id="rId1"/>
    <sheet xmlns:r="http://schemas.openxmlformats.org/officeDocument/2006/relationships" name="②金利シナリオ分析" sheetId="2" state="visible" r:id="rId2"/>
    <sheet xmlns:r="http://schemas.openxmlformats.org/officeDocument/2006/relationships" name="③国土強靱化シナリオ" sheetId="3" state="visible" r:id="rId3"/>
    <sheet xmlns:r="http://schemas.openxmlformats.org/officeDocument/2006/relationships" name="④社内データスナップショッ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808080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color rgb="00CC0000"/>
      <sz val="9"/>
    </font>
    <font>
      <name val="Arial"/>
      <color rgb="00006600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FF6B6B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right" vertical="center" wrapText="1"/>
    </xf>
    <xf numFmtId="0" fontId="10" fillId="2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center" wrapText="1"/>
    </xf>
    <xf numFmtId="0" fontId="6" fillId="5" borderId="6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1"/>
  <sheetViews>
    <sheetView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34" customWidth="1" min="8" max="8"/>
  </cols>
  <sheetData>
    <row r="1" ht="32" customHeight="1">
      <c r="A1" s="1" t="inlineStr">
        <is>
          <t>鹿島建設 マクロ環境月次ブリーフィング</t>
        </is>
      </c>
    </row>
    <row r="2">
      <c r="A2" s="2" t="inlineStr">
        <is>
          <t>報告日: 2026年4月10日  |  作成: 経営企画部 事業経済分析担当  |  配布先: CFO / 経営会議メンバー</t>
        </is>
      </c>
    </row>
    <row r="4">
      <c r="A4" s="3" t="inlineStr">
        <is>
          <t>1. 主要マクロ指標モニタリング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指標</t>
        </is>
      </c>
      <c r="B5" s="4" t="inlineStr">
        <is>
          <t>前月値
(3月)</t>
        </is>
      </c>
      <c r="C5" s="4" t="inlineStr">
        <is>
          <t>当月値
(4月)</t>
        </is>
      </c>
      <c r="D5" s="4" t="inlineStr">
        <is>
          <t>前年同月
(2025/4)</t>
        </is>
      </c>
      <c r="E5" s="4" t="inlineStr">
        <is>
          <t>前月比
変化</t>
        </is>
      </c>
      <c r="F5" s="4" t="inlineStr">
        <is>
          <t>前年比
変化</t>
        </is>
      </c>
      <c r="G5" s="4" t="inlineStr">
        <is>
          <t>判定</t>
        </is>
      </c>
      <c r="H5" s="4" t="inlineStr">
        <is>
          <t>当社へのインプリケーション</t>
        </is>
      </c>
    </row>
    <row r="6" ht="42" customHeight="1">
      <c r="A6" s="5" t="inlineStr">
        <is>
          <t>【金利・金融環境】</t>
        </is>
      </c>
      <c r="B6" s="5" t="n"/>
      <c r="C6" s="5" t="n"/>
      <c r="D6" s="5" t="n"/>
      <c r="E6" s="5" t="n"/>
      <c r="F6" s="5" t="n"/>
      <c r="G6" s="5" t="n"/>
      <c r="H6" s="5" t="n"/>
    </row>
    <row r="7" ht="42" customHeight="1">
      <c r="A7" s="6" t="inlineStr">
        <is>
          <t>10年国債利回り</t>
        </is>
      </c>
      <c r="B7" s="7" t="inlineStr">
        <is>
          <t>1.52%</t>
        </is>
      </c>
      <c r="C7" s="7" t="inlineStr">
        <is>
          <t>1.58%</t>
        </is>
      </c>
      <c r="D7" s="7" t="inlineStr">
        <is>
          <t>1.08%</t>
        </is>
      </c>
      <c r="E7" s="7" t="inlineStr">
        <is>
          <t>+6bp</t>
        </is>
      </c>
      <c r="F7" s="7" t="inlineStr">
        <is>
          <t>+50bp</t>
        </is>
      </c>
      <c r="G7" s="8" t="inlineStr">
        <is>
          <t>黄</t>
        </is>
      </c>
      <c r="H7" s="9" t="inlineStr">
        <is>
          <t>開発事業: キャップレート上昇圧力。保有物件の含み益縮小リスク。6ヶ月前(1.08%)比+50bpは閾値超過 → シナリオ分析発動</t>
        </is>
      </c>
    </row>
    <row r="8" ht="42" customHeight="1">
      <c r="A8" s="6" t="inlineStr">
        <is>
          <t>政策金利</t>
        </is>
      </c>
      <c r="B8" s="7" t="inlineStr">
        <is>
          <t>0.75%</t>
        </is>
      </c>
      <c r="C8" s="7" t="inlineStr">
        <is>
          <t>0.75%</t>
        </is>
      </c>
      <c r="D8" s="7" t="inlineStr">
        <is>
          <t>0.50%</t>
        </is>
      </c>
      <c r="E8" s="7" t="inlineStr">
        <is>
          <t>±0bp</t>
        </is>
      </c>
      <c r="F8" s="7" t="inlineStr">
        <is>
          <t>+25bp</t>
        </is>
      </c>
      <c r="G8" s="10" t="inlineStr">
        <is>
          <t>青</t>
        </is>
      </c>
      <c r="H8" s="9" t="inlineStr">
        <is>
          <t>次回会合（4/28）で追加利上げ観測あり。変動金利借入(約2,800億円)への影響を注視</t>
        </is>
      </c>
    </row>
    <row r="9" ht="42" customHeight="1">
      <c r="A9" s="6" t="inlineStr">
        <is>
          <t>USD/JPY</t>
        </is>
      </c>
      <c r="B9" s="7" t="inlineStr">
        <is>
          <t>148.5</t>
        </is>
      </c>
      <c r="C9" s="7" t="inlineStr">
        <is>
          <t>146.2</t>
        </is>
      </c>
      <c r="D9" s="7" t="inlineStr">
        <is>
          <t>152.3</t>
        </is>
      </c>
      <c r="E9" s="7" t="inlineStr">
        <is>
          <t>-2.3円</t>
        </is>
      </c>
      <c r="F9" s="7" t="inlineStr">
        <is>
          <t>-6.1円</t>
        </is>
      </c>
      <c r="G9" s="10" t="inlineStr">
        <is>
          <t>青</t>
        </is>
      </c>
      <c r="H9" s="9" t="inlineStr">
        <is>
          <t>海外セグメント: 円高方向。FY26海外売上の円換算▲約200億円/10円の感応度</t>
        </is>
      </c>
    </row>
    <row r="10" ht="42" customHeight="1">
      <c r="A10" s="5" t="inlineStr">
        <is>
          <t>【公共投資・財政】</t>
        </is>
      </c>
      <c r="B10" s="5" t="n"/>
      <c r="C10" s="5" t="n"/>
      <c r="D10" s="5" t="n"/>
      <c r="E10" s="5" t="n"/>
      <c r="F10" s="5" t="n"/>
      <c r="G10" s="5" t="n"/>
      <c r="H10" s="5" t="n"/>
    </row>
    <row r="11" ht="42" customHeight="1">
      <c r="A11" s="6" t="inlineStr">
        <is>
          <t>公共事業関係費
（FY26当初予算）</t>
        </is>
      </c>
      <c r="B11" s="7" t="n"/>
      <c r="C11" s="7" t="inlineStr">
        <is>
          <t>6.12兆円</t>
        </is>
      </c>
      <c r="D11" s="7" t="inlineStr">
        <is>
          <t>6.08兆円
(FY25)</t>
        </is>
      </c>
      <c r="E11" s="7" t="n"/>
      <c r="F11" s="7" t="inlineStr">
        <is>
          <t>+0.7%</t>
        </is>
      </c>
      <c r="G11" s="10" t="inlineStr">
        <is>
          <t>青</t>
        </is>
      </c>
      <c r="H11" s="9" t="inlineStr">
        <is>
          <t>微増にとどまる。ただし次期強靱化中期計画(20兆円超/5年)の初年度として補正での上積み期待</t>
        </is>
      </c>
    </row>
    <row r="12" ht="42" customHeight="1">
      <c r="A12" s="6" t="inlineStr">
        <is>
          <t>国土強靱化関連
（FY26当初）</t>
        </is>
      </c>
      <c r="B12" s="7" t="n"/>
      <c r="C12" s="7" t="inlineStr">
        <is>
          <t>約4.3兆円</t>
        </is>
      </c>
      <c r="D12" s="7" t="inlineStr">
        <is>
          <t>約4.0兆円
(FY25)</t>
        </is>
      </c>
      <c r="E12" s="7" t="n"/>
      <c r="F12" s="7" t="inlineStr">
        <is>
          <t>+7.5%</t>
        </is>
      </c>
      <c r="G12" s="11" t="inlineStr">
        <is>
          <t>緑</t>
        </is>
      </c>
      <c r="H12" s="9" t="inlineStr">
        <is>
          <t>次期5か年計画(FY26-30)の初年度。前計画比+33%の規模感。土木セグメントに明確な追い風 → 詳細分析シート③参照</t>
        </is>
      </c>
    </row>
    <row r="13" ht="42" customHeight="1">
      <c r="A13" s="6" t="inlineStr">
        <is>
          <t>建設工事受注
（公共・2月）</t>
        </is>
      </c>
      <c r="B13" s="7" t="inlineStr">
        <is>
          <t>4,120億円</t>
        </is>
      </c>
      <c r="C13" s="7" t="inlineStr">
        <is>
          <t>3,890億円</t>
        </is>
      </c>
      <c r="D13" s="7" t="inlineStr">
        <is>
          <t>3,650億円</t>
        </is>
      </c>
      <c r="E13" s="7" t="inlineStr">
        <is>
          <t>-5.6%</t>
        </is>
      </c>
      <c r="F13" s="7" t="inlineStr">
        <is>
          <t>+6.6%</t>
        </is>
      </c>
      <c r="G13" s="10" t="inlineStr">
        <is>
          <t>青</t>
        </is>
      </c>
      <c r="H13" s="9" t="inlineStr">
        <is>
          <t>季節要因による減少。前年比ではプラス基調を維持</t>
        </is>
      </c>
    </row>
    <row r="14" ht="42" customHeight="1">
      <c r="A14" s="5" t="inlineStr">
        <is>
          <t>【民間建設需要】</t>
        </is>
      </c>
      <c r="B14" s="5" t="n"/>
      <c r="C14" s="5" t="n"/>
      <c r="D14" s="5" t="n"/>
      <c r="E14" s="5" t="n"/>
      <c r="F14" s="5" t="n"/>
      <c r="G14" s="5" t="n"/>
      <c r="H14" s="5" t="n"/>
    </row>
    <row r="15" ht="42" customHeight="1">
      <c r="A15" s="6" t="inlineStr">
        <is>
          <t>日銀短観 設備投資
（大企業・3月調査）</t>
        </is>
      </c>
      <c r="B15" s="7" t="n"/>
      <c r="C15" s="7" t="inlineStr">
        <is>
          <t>+8.2%
(FY26計画)</t>
        </is>
      </c>
      <c r="D15" s="7" t="inlineStr">
        <is>
          <t>+6.5%
(FY25計画)</t>
        </is>
      </c>
      <c r="E15" s="7" t="n"/>
      <c r="F15" s="7" t="inlineStr">
        <is>
          <t>+1.7pt</t>
        </is>
      </c>
      <c r="G15" s="11" t="inlineStr">
        <is>
          <t>緑</t>
        </is>
      </c>
      <c r="H15" s="9" t="inlineStr">
        <is>
          <t>半導体・データセンター投資が牽引。建築セグメントのパイプライン強化要因</t>
        </is>
      </c>
    </row>
    <row r="16" ht="42" customHeight="1">
      <c r="A16" s="6" t="inlineStr">
        <is>
          <t>民間非居住着工
（床面積・2月）</t>
        </is>
      </c>
      <c r="B16" s="7" t="inlineStr">
        <is>
          <t>980万m²</t>
        </is>
      </c>
      <c r="C16" s="7" t="inlineStr">
        <is>
          <t>1,020万m²</t>
        </is>
      </c>
      <c r="D16" s="7" t="inlineStr">
        <is>
          <t>950万m²</t>
        </is>
      </c>
      <c r="E16" s="7" t="inlineStr">
        <is>
          <t>+4.1%</t>
        </is>
      </c>
      <c r="F16" s="7" t="inlineStr">
        <is>
          <t>+7.4%</t>
        </is>
      </c>
      <c r="G16" s="11" t="inlineStr">
        <is>
          <t>緑</t>
        </is>
      </c>
      <c r="H16" s="9" t="inlineStr">
        <is>
          <t>物流施設・データセンター向けが好調。建築受注の先行指標として6ヶ月後の受注増を示唆</t>
        </is>
      </c>
    </row>
    <row r="17" ht="42" customHeight="1">
      <c r="A17" s="6" t="inlineStr">
        <is>
          <t>住宅着工戸数
（2月・年率換算）</t>
        </is>
      </c>
      <c r="B17" s="7" t="inlineStr">
        <is>
          <t>79.2万戸</t>
        </is>
      </c>
      <c r="C17" s="7" t="inlineStr">
        <is>
          <t>78.5万戸</t>
        </is>
      </c>
      <c r="D17" s="7" t="inlineStr">
        <is>
          <t>81.0万戸</t>
        </is>
      </c>
      <c r="E17" s="7" t="inlineStr">
        <is>
          <t>-0.9%</t>
        </is>
      </c>
      <c r="F17" s="7" t="inlineStr">
        <is>
          <t>-3.1%</t>
        </is>
      </c>
      <c r="G17" s="8" t="inlineStr">
        <is>
          <t>黄</t>
        </is>
      </c>
      <c r="H17" s="9" t="inlineStr">
        <is>
          <t>金利上昇の影響が住宅市場に波及。当社直接影響は限定的だが、国内関係会社の一部に影響</t>
        </is>
      </c>
    </row>
    <row r="18" ht="42" customHeight="1">
      <c r="A18" s="5" t="inlineStr">
        <is>
          <t>【不動産市況】</t>
        </is>
      </c>
      <c r="B18" s="5" t="n"/>
      <c r="C18" s="5" t="n"/>
      <c r="D18" s="5" t="n"/>
      <c r="E18" s="5" t="n"/>
      <c r="F18" s="5" t="n"/>
      <c r="G18" s="5" t="n"/>
      <c r="H18" s="5" t="n"/>
    </row>
    <row r="19" ht="42" customHeight="1">
      <c r="A19" s="6" t="inlineStr">
        <is>
          <t>オフィス空室率
（都心5区）</t>
        </is>
      </c>
      <c r="B19" s="7" t="inlineStr">
        <is>
          <t>2.24%</t>
        </is>
      </c>
      <c r="C19" s="7" t="inlineStr">
        <is>
          <t>2.20%</t>
        </is>
      </c>
      <c r="D19" s="7" t="inlineStr">
        <is>
          <t>3.85%</t>
        </is>
      </c>
      <c r="E19" s="7" t="inlineStr">
        <is>
          <t>-0.04pt</t>
        </is>
      </c>
      <c r="F19" s="7" t="inlineStr">
        <is>
          <t>-1.65pt</t>
        </is>
      </c>
      <c r="G19" s="11" t="inlineStr">
        <is>
          <t>緑</t>
        </is>
      </c>
      <c r="H19" s="9" t="inlineStr">
        <is>
          <t>歴史的低水準。開発物件の稼働率維持に好材料。賃料上昇がNOI改善に寄与</t>
        </is>
      </c>
    </row>
    <row r="20" ht="42" customHeight="1">
      <c r="A20" s="6" t="inlineStr">
        <is>
          <t>オフィス賃料
（都心5区平均）</t>
        </is>
      </c>
      <c r="B20" s="7" t="inlineStr">
        <is>
          <t>21,648円/坪</t>
        </is>
      </c>
      <c r="C20" s="7" t="inlineStr">
        <is>
          <t>21,969円/坪</t>
        </is>
      </c>
      <c r="D20" s="7" t="inlineStr">
        <is>
          <t>20,481円/坪</t>
        </is>
      </c>
      <c r="E20" s="7" t="inlineStr">
        <is>
          <t>+1.5%</t>
        </is>
      </c>
      <c r="F20" s="7" t="inlineStr">
        <is>
          <t>+7.3%</t>
        </is>
      </c>
      <c r="G20" s="11" t="inlineStr">
        <is>
          <t>緑</t>
        </is>
      </c>
      <c r="H20" s="9" t="inlineStr">
        <is>
          <t>賃料上昇トレンド加速。保有オフィスのNOI年間+約15億円のインパクト（試算）</t>
        </is>
      </c>
    </row>
    <row r="21" ht="42" customHeight="1">
      <c r="A21" s="6" t="inlineStr">
        <is>
          <t>不動産キャップレート
（Aクラスオフィス）</t>
        </is>
      </c>
      <c r="B21" s="7" t="inlineStr">
        <is>
          <t>3.35%</t>
        </is>
      </c>
      <c r="C21" s="7" t="inlineStr">
        <is>
          <t>3.40%</t>
        </is>
      </c>
      <c r="D21" s="7" t="inlineStr">
        <is>
          <t>3.15%</t>
        </is>
      </c>
      <c r="E21" s="7" t="inlineStr">
        <is>
          <t>+5bp</t>
        </is>
      </c>
      <c r="F21" s="7" t="inlineStr">
        <is>
          <t>+25bp</t>
        </is>
      </c>
      <c r="G21" s="8" t="inlineStr">
        <is>
          <t>黄</t>
        </is>
      </c>
      <c r="H21" s="9" t="inlineStr">
        <is>
          <t>金利上昇に連動してキャップレート上昇。開発物件の出口戦略に要注意 → 詳細シート②参照</t>
        </is>
      </c>
    </row>
    <row r="22" ht="42" customHeight="1">
      <c r="A22" s="5" t="inlineStr">
        <is>
          <t>【資材・労務費】</t>
        </is>
      </c>
      <c r="B22" s="5" t="n"/>
      <c r="C22" s="5" t="n"/>
      <c r="D22" s="5" t="n"/>
      <c r="E22" s="5" t="n"/>
      <c r="F22" s="5" t="n"/>
      <c r="G22" s="5" t="n"/>
      <c r="H22" s="5" t="n"/>
    </row>
    <row r="23" ht="42" customHeight="1">
      <c r="A23" s="6" t="inlineStr">
        <is>
          <t>H形鋼価格</t>
        </is>
      </c>
      <c r="B23" s="7" t="inlineStr">
        <is>
          <t>128,000円/t</t>
        </is>
      </c>
      <c r="C23" s="7" t="inlineStr">
        <is>
          <t>130,000円/t</t>
        </is>
      </c>
      <c r="D23" s="7" t="inlineStr">
        <is>
          <t>122,000円/t</t>
        </is>
      </c>
      <c r="E23" s="7" t="inlineStr">
        <is>
          <t>+1.6%</t>
        </is>
      </c>
      <c r="F23" s="7" t="inlineStr">
        <is>
          <t>+6.6%</t>
        </is>
      </c>
      <c r="G23" s="8" t="inlineStr">
        <is>
          <t>黄</t>
        </is>
      </c>
      <c r="H23" s="9" t="inlineStr">
        <is>
          <t>上昇基調継続。受注残案件の実行予算見直しを要検討（影響額 後述）</t>
        </is>
      </c>
    </row>
    <row r="24" ht="42" customHeight="1">
      <c r="A24" s="6" t="inlineStr">
        <is>
          <t>公共工事設計
労務単価（全国平均）</t>
        </is>
      </c>
      <c r="B24" s="7" t="n"/>
      <c r="C24" s="7" t="inlineStr">
        <is>
          <t>24,024円/日</t>
        </is>
      </c>
      <c r="D24" s="7" t="inlineStr">
        <is>
          <t>22,662円/日</t>
        </is>
      </c>
      <c r="E24" s="7" t="n"/>
      <c r="F24" s="7" t="inlineStr">
        <is>
          <t>+6.0%</t>
        </is>
      </c>
      <c r="G24" s="12" t="inlineStr">
        <is>
          <t>赤</t>
        </is>
      </c>
      <c r="H24" s="9" t="inlineStr">
        <is>
          <t>13年連続上昇。土木・建築の利益率を▲0.3-0.5pt圧迫する可能性。スライド条項の適用拡大で一部転嫁</t>
        </is>
      </c>
    </row>
    <row r="25" ht="42" customHeight="1">
      <c r="A25" s="6" t="inlineStr">
        <is>
          <t>建設工事費
デフレーター（住宅）</t>
        </is>
      </c>
      <c r="B25" s="7" t="inlineStr">
        <is>
          <t>129.5</t>
        </is>
      </c>
      <c r="C25" s="7" t="inlineStr">
        <is>
          <t>130.0</t>
        </is>
      </c>
      <c r="D25" s="7" t="inlineStr">
        <is>
          <t>125.8</t>
        </is>
      </c>
      <c r="E25" s="7" t="inlineStr">
        <is>
          <t>+0.4%</t>
        </is>
      </c>
      <c r="F25" s="7" t="inlineStr">
        <is>
          <t>+3.3%</t>
        </is>
      </c>
      <c r="G25" s="8" t="inlineStr">
        <is>
          <t>黄</t>
        </is>
      </c>
      <c r="H25" s="9" t="inlineStr">
        <is>
          <t>建設コスト上昇は鈍化傾向だが高止まり。新規受注時の見積精度向上が必要</t>
        </is>
      </c>
    </row>
    <row r="26" ht="42" customHeight="1">
      <c r="A26" s="5" t="inlineStr">
        <is>
          <t>【海外経済】</t>
        </is>
      </c>
      <c r="B26" s="5" t="n"/>
      <c r="C26" s="5" t="n"/>
      <c r="D26" s="5" t="n"/>
      <c r="E26" s="5" t="n"/>
      <c r="F26" s="5" t="n"/>
      <c r="G26" s="5" t="n"/>
      <c r="H26" s="5" t="n"/>
    </row>
    <row r="27" ht="42" customHeight="1">
      <c r="A27" s="6" t="inlineStr">
        <is>
          <t>米国GDP成長率
（2025Q4）</t>
        </is>
      </c>
      <c r="B27" s="7" t="n"/>
      <c r="C27" s="7" t="inlineStr">
        <is>
          <t>+2.1%
(前期比年率)</t>
        </is>
      </c>
      <c r="D27" s="7" t="inlineStr">
        <is>
          <t>+2.8%
(前年同期)</t>
        </is>
      </c>
      <c r="E27" s="7" t="n"/>
      <c r="F27" s="7" t="inlineStr">
        <is>
          <t>-0.7pt</t>
        </is>
      </c>
      <c r="G27" s="8" t="inlineStr">
        <is>
          <t>黄</t>
        </is>
      </c>
      <c r="H27" s="9" t="inlineStr">
        <is>
          <t>北米建設市場は緩やかに減速。Kajima USA受注は当面堅調だが下期にかけて選別受注を強化</t>
        </is>
      </c>
    </row>
    <row r="28" ht="42" customHeight="1">
      <c r="A28" s="6" t="inlineStr">
        <is>
          <t>ASEAN主要国GDP
（2025通年）</t>
        </is>
      </c>
      <c r="B28" s="7" t="n"/>
      <c r="C28" s="7" t="inlineStr">
        <is>
          <t>+4.8%</t>
        </is>
      </c>
      <c r="D28" s="7" t="inlineStr">
        <is>
          <t>+5.1%
(2024)</t>
        </is>
      </c>
      <c r="E28" s="7" t="n"/>
      <c r="F28" s="7" t="inlineStr">
        <is>
          <t>-0.3pt</t>
        </is>
      </c>
      <c r="G28" s="10" t="inlineStr">
        <is>
          <t>青</t>
        </is>
      </c>
      <c r="H28" s="9" t="inlineStr">
        <is>
          <t>底堅い成長。インフラ投資は拡大基調を維持。東南アジアでの受注は引き続き好調の見通し</t>
        </is>
      </c>
    </row>
    <row r="30">
      <c r="A30" s="13" t="inlineStr">
        <is>
          <t>【総括】 今月の注目ポイント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 ht="72" customHeight="1">
      <c r="A31" s="14" t="inlineStr">
        <is>
          <t>① 長期金利: 6ヶ月前比+50bpの閾値を超過。開発事業のキャップレート上昇・物件価値への影響についてシナリオ分析を実施（シート②）
② 国土強靱化: 次期5か年計画(FY26-30)が始動。20兆円超の事業規模は前計画比+33%。土木セグメントへの追い風を定量評価（シート③）
③ 労務単価: +6.0%は閾値(+5%)超過。受注残案件の実行予算見直しが必要。スライド条項適用の拡大を推進
④ オフィス市況: 空室率2.2%・賃料+7.3%と好調。金利上昇によるキャップレート上昇との綱引きが続く</t>
        </is>
      </c>
      <c r="B31" s="15" t="n"/>
      <c r="C31" s="15" t="n"/>
      <c r="D31" s="15" t="n"/>
      <c r="E31" s="15" t="n"/>
      <c r="F31" s="15" t="n"/>
      <c r="G31" s="15" t="n"/>
      <c r="H31" s="15" t="n"/>
    </row>
  </sheetData>
  <mergeCells count="11">
    <mergeCell ref="A18:H18"/>
    <mergeCell ref="A4:H4"/>
    <mergeCell ref="A26:H26"/>
    <mergeCell ref="A30:H30"/>
    <mergeCell ref="A2:H2"/>
    <mergeCell ref="A10:H10"/>
    <mergeCell ref="A14:H14"/>
    <mergeCell ref="A1:H1"/>
    <mergeCell ref="A31:H31"/>
    <mergeCell ref="A6:H6"/>
    <mergeCell ref="A22:H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45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</cols>
  <sheetData>
    <row r="1" ht="32" customHeight="1">
      <c r="A1" s="16" t="inlineStr">
        <is>
          <t>金利上昇シナリオ分析 ― 開発事業・建築受注への影響試算</t>
        </is>
      </c>
    </row>
    <row r="2">
      <c r="A2" s="2" t="inlineStr">
        <is>
          <t>基準日: 2026年4月10日  |  トリガー: 10Y JGB 6ヶ月前比+50bp超（閾値超過）  |  機密: 社内限</t>
        </is>
      </c>
    </row>
    <row r="4">
      <c r="A4" s="3" t="inlineStr">
        <is>
          <t>A. 分析の前提</t>
        </is>
      </c>
      <c r="B4" s="3" t="n"/>
      <c r="C4" s="3" t="n"/>
      <c r="D4" s="3" t="n"/>
      <c r="E4" s="3" t="n"/>
      <c r="F4" s="3" t="n"/>
    </row>
    <row r="5">
      <c r="A5" s="6" t="inlineStr">
        <is>
          <t>現在の10年国債利回り</t>
        </is>
      </c>
      <c r="B5" s="17" t="inlineStr">
        <is>
          <t>1.58%</t>
        </is>
      </c>
      <c r="C5" s="18" t="inlineStr">
        <is>
          <t>2026年4月10日時点</t>
        </is>
      </c>
    </row>
    <row r="6">
      <c r="A6" s="6" t="inlineStr">
        <is>
          <t>6ヶ月前の10年国債利回り</t>
        </is>
      </c>
      <c r="B6" s="17" t="inlineStr">
        <is>
          <t>1.08%</t>
        </is>
      </c>
      <c r="C6" s="18" t="inlineStr">
        <is>
          <t>2025年10月時点</t>
        </is>
      </c>
    </row>
    <row r="7">
      <c r="A7" s="6" t="inlineStr">
        <is>
          <t>変化幅</t>
        </is>
      </c>
      <c r="B7" s="17" t="inlineStr">
        <is>
          <t>+50bp</t>
        </is>
      </c>
      <c r="C7" s="18" t="inlineStr">
        <is>
          <t>閾値（±20bp/月 or 6M累計±50bp）超過</t>
        </is>
      </c>
    </row>
    <row r="8">
      <c r="A8" s="6" t="inlineStr">
        <is>
          <t>5年スワップレート</t>
        </is>
      </c>
      <c r="B8" s="17" t="inlineStr">
        <is>
          <t>1.12%</t>
        </is>
      </c>
      <c r="C8" s="18" t="inlineStr">
        <is>
          <t>開発PFの基準金利</t>
        </is>
      </c>
    </row>
    <row r="9">
      <c r="A9" s="6" t="inlineStr">
        <is>
          <t>当社 加重平均借入金利</t>
        </is>
      </c>
      <c r="B9" s="17" t="inlineStr">
        <is>
          <t>0.85%</t>
        </is>
      </c>
      <c r="C9" s="18" t="inlineStr">
        <is>
          <t>FY25実績。固定65%/変動35%</t>
        </is>
      </c>
    </row>
    <row r="10">
      <c r="A10" s="6" t="inlineStr">
        <is>
          <t>開発事業資産 簿価</t>
        </is>
      </c>
      <c r="B10" s="17" t="inlineStr">
        <is>
          <t>4,850億円</t>
        </is>
      </c>
      <c r="C10" s="18" t="inlineStr">
        <is>
          <t>2026年3月末時点</t>
        </is>
      </c>
    </row>
    <row r="11">
      <c r="A11" s="6" t="inlineStr">
        <is>
          <t>保有賃貸物件NOI（年間）</t>
        </is>
      </c>
      <c r="B11" s="17" t="inlineStr">
        <is>
          <t>215億円</t>
        </is>
      </c>
      <c r="C11" s="18" t="inlineStr">
        <is>
          <t>FY25実績</t>
        </is>
      </c>
    </row>
    <row r="12">
      <c r="A12" s="6" t="inlineStr">
        <is>
          <t>Aクラスオフィス キャップレート</t>
        </is>
      </c>
      <c r="B12" s="17" t="inlineStr">
        <is>
          <t>3.40%</t>
        </is>
      </c>
      <c r="C12" s="18" t="inlineStr">
        <is>
          <t>日本不動産研究所 2026年3月調査</t>
        </is>
      </c>
    </row>
    <row r="14">
      <c r="A14" s="3" t="inlineStr">
        <is>
          <t>B. 開発事業への影響（トランスミッション・メカニズム）</t>
        </is>
      </c>
      <c r="B14" s="3" t="n"/>
      <c r="C14" s="3" t="n"/>
      <c r="D14" s="3" t="n"/>
      <c r="E14" s="3" t="n"/>
      <c r="F14" s="3" t="n"/>
    </row>
    <row r="15">
      <c r="A15" s="5" t="inlineStr">
        <is>
          <t>B-1. キャップレート上昇 → 保有物件価値への影響</t>
        </is>
      </c>
      <c r="B15" s="5" t="n"/>
      <c r="C15" s="5" t="n"/>
      <c r="D15" s="5" t="n"/>
      <c r="E15" s="5" t="n"/>
      <c r="F15" s="5" t="n"/>
    </row>
    <row r="16">
      <c r="A16" s="4" t="inlineStr">
        <is>
          <t>項目</t>
        </is>
      </c>
      <c r="B16" s="4" t="inlineStr">
        <is>
          <t>ベースケース
(現状維持)</t>
        </is>
      </c>
      <c r="C16" s="4" t="inlineStr">
        <is>
          <t>ケース1
(+25bp)</t>
        </is>
      </c>
      <c r="D16" s="4" t="inlineStr">
        <is>
          <t>ケース2
(+50bp)</t>
        </is>
      </c>
      <c r="E16" s="4" t="inlineStr">
        <is>
          <t>ケース3
(+100bp)</t>
        </is>
      </c>
      <c r="F16" s="4" t="inlineStr">
        <is>
          <t>算出根拠</t>
        </is>
      </c>
    </row>
    <row r="17" ht="30" customHeight="1">
      <c r="A17" s="6" t="inlineStr">
        <is>
          <t>10年国債利回り</t>
        </is>
      </c>
      <c r="B17" s="7" t="inlineStr">
        <is>
          <t>1.58%</t>
        </is>
      </c>
      <c r="C17" s="7" t="inlineStr">
        <is>
          <t>1.83%</t>
        </is>
      </c>
      <c r="D17" s="7" t="inlineStr">
        <is>
          <t>2.08%</t>
        </is>
      </c>
      <c r="E17" s="7" t="inlineStr">
        <is>
          <t>2.58%</t>
        </is>
      </c>
      <c r="F17" s="19" t="inlineStr">
        <is>
          <t>外生変数（シナリオ設定値）</t>
        </is>
      </c>
    </row>
    <row r="18" ht="30" customHeight="1">
      <c r="A18" s="6" t="inlineStr">
        <is>
          <t>想定キャップレート
（Aクラスオフィス）</t>
        </is>
      </c>
      <c r="B18" s="7" t="inlineStr">
        <is>
          <t>3.40%</t>
        </is>
      </c>
      <c r="C18" s="7" t="inlineStr">
        <is>
          <t>3.55%</t>
        </is>
      </c>
      <c r="D18" s="7" t="inlineStr">
        <is>
          <t>3.70%</t>
        </is>
      </c>
      <c r="E18" s="7" t="inlineStr">
        <is>
          <t>4.00%</t>
        </is>
      </c>
      <c r="F18" s="19" t="inlineStr">
        <is>
          <t>過去回帰: 金利+100bpでCAP+60bp
（感応度係数 0.6）</t>
        </is>
      </c>
    </row>
    <row r="19" ht="30" customHeight="1">
      <c r="A19" s="6" t="inlineStr">
        <is>
          <t>NOI（年間・不変と仮定）</t>
        </is>
      </c>
      <c r="B19" s="7" t="inlineStr">
        <is>
          <t>215億円</t>
        </is>
      </c>
      <c r="C19" s="7" t="inlineStr">
        <is>
          <t>215億円</t>
        </is>
      </c>
      <c r="D19" s="7" t="inlineStr">
        <is>
          <t>215億円</t>
        </is>
      </c>
      <c r="E19" s="7" t="inlineStr">
        <is>
          <t>215億円</t>
        </is>
      </c>
      <c r="F19" s="19" t="inlineStr">
        <is>
          <t>FY25実績を据え置き</t>
        </is>
      </c>
    </row>
    <row r="20" ht="30" customHeight="1">
      <c r="A20" s="6" t="inlineStr">
        <is>
          <t>想定物件価値
（=NOI/CAP Rate）</t>
        </is>
      </c>
      <c r="B20" s="7" t="inlineStr">
        <is>
          <t>6,324億円</t>
        </is>
      </c>
      <c r="C20" s="7" t="inlineStr">
        <is>
          <t>6,056億円</t>
        </is>
      </c>
      <c r="D20" s="7" t="inlineStr">
        <is>
          <t>5,811億円</t>
        </is>
      </c>
      <c r="E20" s="7" t="inlineStr">
        <is>
          <t>5,375億円</t>
        </is>
      </c>
      <c r="F20" s="19">
        <f>NOI÷キャップレート</f>
        <v/>
      </c>
    </row>
    <row r="21" ht="30" customHeight="1">
      <c r="A21" s="6" t="inlineStr">
        <is>
          <t>物件価値の変化額</t>
        </is>
      </c>
      <c r="B21" s="7" t="inlineStr">
        <is>
          <t>―</t>
        </is>
      </c>
      <c r="C21" s="20" t="inlineStr">
        <is>
          <t>▲268億円</t>
        </is>
      </c>
      <c r="D21" s="20" t="inlineStr">
        <is>
          <t>▲513億円</t>
        </is>
      </c>
      <c r="E21" s="20" t="inlineStr">
        <is>
          <t>▲949億円</t>
        </is>
      </c>
      <c r="F21" s="19" t="inlineStr">
        <is>
          <t>ベースケースとの差額</t>
        </is>
      </c>
    </row>
    <row r="22" ht="30" customHeight="1">
      <c r="A22" s="6" t="inlineStr">
        <is>
          <t>物件価値の変化率</t>
        </is>
      </c>
      <c r="B22" s="7" t="inlineStr">
        <is>
          <t>―</t>
        </is>
      </c>
      <c r="C22" s="20" t="inlineStr">
        <is>
          <t>▲4.2%</t>
        </is>
      </c>
      <c r="D22" s="20" t="inlineStr">
        <is>
          <t>▲8.1%</t>
        </is>
      </c>
      <c r="E22" s="20" t="inlineStr">
        <is>
          <t>▲15.0%</t>
        </is>
      </c>
      <c r="F22" s="19" t="inlineStr">
        <is>
          <t>変化額÷ベース物件価値</t>
        </is>
      </c>
    </row>
    <row r="23" ht="30" customHeight="1">
      <c r="A23" s="6" t="inlineStr">
        <is>
          <t>簿価(4,850億円)との
含み益</t>
        </is>
      </c>
      <c r="B23" s="7" t="inlineStr">
        <is>
          <t>+1,474億円</t>
        </is>
      </c>
      <c r="C23" s="21" t="inlineStr">
        <is>
          <t>+1,206億円</t>
        </is>
      </c>
      <c r="D23" s="21" t="inlineStr">
        <is>
          <t>+961億円</t>
        </is>
      </c>
      <c r="E23" s="21" t="inlineStr">
        <is>
          <t>+525億円</t>
        </is>
      </c>
      <c r="F23" s="19" t="inlineStr">
        <is>
          <t>物件価値 − 簿価</t>
        </is>
      </c>
    </row>
    <row r="25" ht="48" customHeight="1">
      <c r="A25" s="22" t="inlineStr">
        <is>
          <t>【示唆】 金利+50bpシナリオでは保有物件の含み益が約500億円縮小（1,474億円→961億円）。ただし簿価対比ではなお+961億円のバッファを維持。当面の物件売却計画（FY26: 約800億円）の実行可能性には影響軽微だが、売却益は▲50-80億円程度の下振れリスク。</t>
        </is>
      </c>
      <c r="B25" s="23" t="n"/>
      <c r="C25" s="23" t="n"/>
      <c r="D25" s="23" t="n"/>
      <c r="E25" s="23" t="n"/>
      <c r="F25" s="23" t="n"/>
    </row>
    <row r="27">
      <c r="A27" s="5" t="inlineStr">
        <is>
          <t>B-2. デベロッパー投資意欲変化 → 建築受注パイプラインへの影響</t>
        </is>
      </c>
      <c r="B27" s="5" t="n"/>
      <c r="C27" s="5" t="n"/>
      <c r="D27" s="5" t="n"/>
      <c r="E27" s="5" t="n"/>
      <c r="F27" s="5" t="n"/>
    </row>
    <row r="28">
      <c r="A28" s="4" t="inlineStr">
        <is>
          <t>トランスミッション経路</t>
        </is>
      </c>
      <c r="B28" s="4" t="inlineStr">
        <is>
          <t>ベースケース</t>
        </is>
      </c>
      <c r="C28" s="4" t="inlineStr">
        <is>
          <t>ケース1
(+25bp)</t>
        </is>
      </c>
      <c r="D28" s="4" t="inlineStr">
        <is>
          <t>ケース2
(+50bp)</t>
        </is>
      </c>
      <c r="E28" s="4" t="inlineStr">
        <is>
          <t>ケース3
(+100bp)</t>
        </is>
      </c>
      <c r="F28" s="4" t="inlineStr">
        <is>
          <t>タイムラグ・備考</t>
        </is>
      </c>
    </row>
    <row r="29" ht="36" customHeight="1">
      <c r="A29" s="6" t="inlineStr">
        <is>
          <t>①金利上昇</t>
        </is>
      </c>
      <c r="B29" s="7" t="inlineStr">
        <is>
          <t>1.58%</t>
        </is>
      </c>
      <c r="C29" s="7" t="inlineStr">
        <is>
          <t>1.83%</t>
        </is>
      </c>
      <c r="D29" s="7" t="inlineStr">
        <is>
          <t>2.08%</t>
        </is>
      </c>
      <c r="E29" s="7" t="inlineStr">
        <is>
          <t>2.58%</t>
        </is>
      </c>
      <c r="F29" s="19" t="inlineStr">
        <is>
          <t>―</t>
        </is>
      </c>
    </row>
    <row r="30" ht="36" customHeight="1">
      <c r="A30" s="6" t="inlineStr">
        <is>
          <t>②デベロッパー投資採算
（想定IRR低下幅）</t>
        </is>
      </c>
      <c r="B30" s="7" t="inlineStr">
        <is>
          <t>基準</t>
        </is>
      </c>
      <c r="C30" s="20" t="inlineStr">
        <is>
          <t>▲0.3pt</t>
        </is>
      </c>
      <c r="D30" s="20" t="inlineStr">
        <is>
          <t>▲0.7pt</t>
        </is>
      </c>
      <c r="E30" s="20" t="inlineStr">
        <is>
          <t>▲1.5pt</t>
        </is>
      </c>
      <c r="F30" s="19" t="inlineStr">
        <is>
          <t>調達コスト上昇が直接影響
（レバレッジ60%想定）</t>
        </is>
      </c>
    </row>
    <row r="31" ht="36" customHeight="1">
      <c r="A31" s="6" t="inlineStr">
        <is>
          <t>③新規開発計画
の着工判断</t>
        </is>
      </c>
      <c r="B31" s="7" t="inlineStr">
        <is>
          <t>計画通り</t>
        </is>
      </c>
      <c r="C31" s="7" t="inlineStr">
        <is>
          <t>一部先送り
（5-10%）</t>
        </is>
      </c>
      <c r="D31" s="7" t="inlineStr">
        <is>
          <t>選別的に
先送り（15-20%）</t>
        </is>
      </c>
      <c r="E31" s="7" t="inlineStr">
        <is>
          <t>大幅先送り
（30%超）</t>
        </is>
      </c>
      <c r="F31" s="19" t="inlineStr">
        <is>
          <t>判断から着工まで
6-12ヶ月のラグ</t>
        </is>
      </c>
    </row>
    <row r="32" ht="36" customHeight="1">
      <c r="A32" s="6" t="inlineStr">
        <is>
          <t>④当社 建築受注
パイプラインへの影響</t>
        </is>
      </c>
      <c r="B32" s="7" t="inlineStr">
        <is>
          <t>現状維持
(1.05兆円)</t>
        </is>
      </c>
      <c r="C32" s="20" t="inlineStr">
        <is>
          <t>▲500-1,000
億円</t>
        </is>
      </c>
      <c r="D32" s="20" t="inlineStr">
        <is>
          <t>▲1,500-2,000
億円</t>
        </is>
      </c>
      <c r="E32" s="20" t="inlineStr">
        <is>
          <t>▲3,000億円
超</t>
        </is>
      </c>
      <c r="F32" s="19" t="inlineStr">
        <is>
          <t>着工判断から受注まで
さらに3-6ヶ月</t>
        </is>
      </c>
    </row>
    <row r="33" ht="36" customHeight="1">
      <c r="A33" s="6" t="inlineStr">
        <is>
          <t>⑤影響が顕在化する時期</t>
        </is>
      </c>
      <c r="B33" s="7" t="inlineStr">
        <is>
          <t>―</t>
        </is>
      </c>
      <c r="C33" s="7" t="inlineStr">
        <is>
          <t>FY26下期
～FY27上期</t>
        </is>
      </c>
      <c r="D33" s="7" t="inlineStr">
        <is>
          <t>FY26下期
～FY27上期</t>
        </is>
      </c>
      <c r="E33" s="7" t="inlineStr">
        <is>
          <t>FY26下期
以降</t>
        </is>
      </c>
      <c r="F33" s="19" t="inlineStr">
        <is>
          <t>合計タイムラグ
9-18ヶ月</t>
        </is>
      </c>
    </row>
    <row r="34" ht="36" customHeight="1">
      <c r="A34" s="6" t="inlineStr">
        <is>
          <t>⑥建築セグメント売上
への影響（概算）</t>
        </is>
      </c>
      <c r="B34" s="7" t="inlineStr">
        <is>
          <t>1.05兆円
(FY25実績)</t>
        </is>
      </c>
      <c r="C34" s="20" t="inlineStr">
        <is>
          <t>▲200-400
億円</t>
        </is>
      </c>
      <c r="D34" s="20" t="inlineStr">
        <is>
          <t>▲500-800
億円</t>
        </is>
      </c>
      <c r="E34" s="20" t="inlineStr">
        <is>
          <t>▲1,000億円
超</t>
        </is>
      </c>
      <c r="F34" s="19" t="inlineStr">
        <is>
          <t>受注から売上計上まで
さらに12-24ヶ月</t>
        </is>
      </c>
    </row>
    <row r="36" ht="64" customHeight="1">
      <c r="A36" s="22" t="inlineStr">
        <is>
          <t>【示唆】 金利+50bpシナリオでは、デベロッパーの新規開発計画の15-20%が先送りとなり、当社建築受注パイプラインは▲1,500-2,000億円の影響。ただし影響の顕在化はFY26下期以降であり、現在の受注残高(約2.8兆円)が当面のバッファ。
【推奨アクション】 ①非不動産セクター（半導体工場/データセンター）への営業シフト強化 ②既存顧客への早期受注確保アプローチ ③受注残の消化計画見直し</t>
        </is>
      </c>
      <c r="B36" s="23" t="n"/>
      <c r="C36" s="23" t="n"/>
      <c r="D36" s="23" t="n"/>
      <c r="E36" s="23" t="n"/>
      <c r="F36" s="23" t="n"/>
    </row>
    <row r="38">
      <c r="A38" s="3" t="inlineStr">
        <is>
          <t>C. 財務コストへの直接影響</t>
        </is>
      </c>
      <c r="B38" s="3" t="n"/>
      <c r="C38" s="3" t="n"/>
      <c r="D38" s="3" t="n"/>
      <c r="E38" s="3" t="n"/>
      <c r="F38" s="3" t="n"/>
    </row>
    <row r="39">
      <c r="A39" s="4" t="inlineStr">
        <is>
          <t>項目</t>
        </is>
      </c>
      <c r="B39" s="4" t="inlineStr">
        <is>
          <t>ベースケース</t>
        </is>
      </c>
      <c r="C39" s="4" t="inlineStr">
        <is>
          <t>ケース1
(+25bp)</t>
        </is>
      </c>
      <c r="D39" s="4" t="inlineStr">
        <is>
          <t>ケース2
(+50bp)</t>
        </is>
      </c>
      <c r="E39" s="4" t="inlineStr">
        <is>
          <t>ケース3
(+100bp)</t>
        </is>
      </c>
      <c r="F39" s="4" t="inlineStr">
        <is>
          <t>算出根拠</t>
        </is>
      </c>
    </row>
    <row r="40" ht="30" customHeight="1">
      <c r="A40" s="6" t="inlineStr">
        <is>
          <t>有利子負債残高</t>
        </is>
      </c>
      <c r="B40" s="7" t="inlineStr">
        <is>
          <t>8,200億円</t>
        </is>
      </c>
      <c r="C40" s="7" t="inlineStr">
        <is>
          <t>8,200億円</t>
        </is>
      </c>
      <c r="D40" s="7" t="inlineStr">
        <is>
          <t>8,200億円</t>
        </is>
      </c>
      <c r="E40" s="7" t="inlineStr">
        <is>
          <t>8,200億円</t>
        </is>
      </c>
      <c r="F40" s="19" t="inlineStr">
        <is>
          <t>FY25末残高を固定</t>
        </is>
      </c>
    </row>
    <row r="41" ht="30" customHeight="1">
      <c r="A41" s="6" t="inlineStr">
        <is>
          <t>うち変動金利</t>
        </is>
      </c>
      <c r="B41" s="7" t="inlineStr">
        <is>
          <t>2,870億円</t>
        </is>
      </c>
      <c r="C41" s="7" t="inlineStr">
        <is>
          <t>2,870億円</t>
        </is>
      </c>
      <c r="D41" s="7" t="inlineStr">
        <is>
          <t>2,870億円</t>
        </is>
      </c>
      <c r="E41" s="7" t="inlineStr">
        <is>
          <t>2,870億円</t>
        </is>
      </c>
      <c r="F41" s="19" t="inlineStr">
        <is>
          <t>全体の35%</t>
        </is>
      </c>
    </row>
    <row r="42" ht="30" customHeight="1">
      <c r="A42" s="6" t="inlineStr">
        <is>
          <t>変動金利分
追加利息（年間）</t>
        </is>
      </c>
      <c r="B42" s="7" t="inlineStr">
        <is>
          <t>―</t>
        </is>
      </c>
      <c r="C42" s="7" t="inlineStr">
        <is>
          <t>+7.2億円</t>
        </is>
      </c>
      <c r="D42" s="7" t="inlineStr">
        <is>
          <t>+14.4億円</t>
        </is>
      </c>
      <c r="E42" s="7" t="inlineStr">
        <is>
          <t>+28.7億円</t>
        </is>
      </c>
      <c r="F42" s="19">
        <f>変動金利残高×金利変化幅</f>
        <v/>
      </c>
    </row>
    <row r="43" ht="30" customHeight="1">
      <c r="A43" s="6" t="inlineStr">
        <is>
          <t>固定金利 借換時
コスト増（年間）</t>
        </is>
      </c>
      <c r="B43" s="7" t="inlineStr">
        <is>
          <t>―</t>
        </is>
      </c>
      <c r="C43" s="7" t="inlineStr">
        <is>
          <t>+3.5億円</t>
        </is>
      </c>
      <c r="D43" s="7" t="inlineStr">
        <is>
          <t>+7.0億円</t>
        </is>
      </c>
      <c r="E43" s="7" t="inlineStr">
        <is>
          <t>+14.0億円</t>
        </is>
      </c>
      <c r="F43" s="19" t="inlineStr">
        <is>
          <t>FY26中に借換予定の
固定分1,400億円に対して</t>
        </is>
      </c>
    </row>
    <row r="44" ht="30" customHeight="1">
      <c r="A44" s="6" t="inlineStr">
        <is>
          <t>合計 追加金融費用</t>
        </is>
      </c>
      <c r="B44" s="7" t="inlineStr">
        <is>
          <t>―</t>
        </is>
      </c>
      <c r="C44" s="7" t="inlineStr">
        <is>
          <t>+10.7億円</t>
        </is>
      </c>
      <c r="D44" s="7" t="inlineStr">
        <is>
          <t>+21.4億円</t>
        </is>
      </c>
      <c r="E44" s="7" t="inlineStr">
        <is>
          <t>+42.7億円</t>
        </is>
      </c>
      <c r="F44" s="19" t="inlineStr"/>
    </row>
    <row r="45" ht="30" customHeight="1">
      <c r="A45" s="6" t="inlineStr">
        <is>
          <t>経常利益への影響</t>
        </is>
      </c>
      <c r="B45" s="7" t="inlineStr">
        <is>
          <t>―</t>
        </is>
      </c>
      <c r="C45" s="20" t="inlineStr">
        <is>
          <t>▲0.6%</t>
        </is>
      </c>
      <c r="D45" s="20" t="inlineStr">
        <is>
          <t>▲1.2%</t>
        </is>
      </c>
      <c r="E45" s="20" t="inlineStr">
        <is>
          <t>▲2.5%</t>
        </is>
      </c>
      <c r="F45" s="19" t="inlineStr">
        <is>
          <t>FY25経常利益
1,720億円に対する比率</t>
        </is>
      </c>
    </row>
  </sheetData>
  <mergeCells count="17">
    <mergeCell ref="A38:F38"/>
    <mergeCell ref="A2:F2"/>
    <mergeCell ref="C9:F9"/>
    <mergeCell ref="C8:F8"/>
    <mergeCell ref="A14:F14"/>
    <mergeCell ref="A36:F36"/>
    <mergeCell ref="A1:F1"/>
    <mergeCell ref="C12:F12"/>
    <mergeCell ref="A27:F27"/>
    <mergeCell ref="C6:F6"/>
    <mergeCell ref="C7:F7"/>
    <mergeCell ref="A4:F4"/>
    <mergeCell ref="C11:F11"/>
    <mergeCell ref="C10:F10"/>
    <mergeCell ref="C5:F5"/>
    <mergeCell ref="A15:F15"/>
    <mergeCell ref="A25:F2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39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6" t="inlineStr">
        <is>
          <t>国土強靱化 次期5か年計画 ― 土木セグメント受注インパクト分析</t>
        </is>
      </c>
    </row>
    <row r="2">
      <c r="A2" s="2" t="inlineStr">
        <is>
          <t>基準日: 2026年4月10日  |  トリガー: 次期国土強靱化実施中期計画(FY26-30) 閣議決定  |  機密: 社内限</t>
        </is>
      </c>
    </row>
    <row r="4">
      <c r="A4" s="3" t="inlineStr">
        <is>
          <t>A. 国土強靱化予算の推移と次期計画</t>
        </is>
      </c>
      <c r="B4" s="3" t="n"/>
      <c r="C4" s="3" t="n"/>
      <c r="D4" s="3" t="n"/>
      <c r="E4" s="3" t="n"/>
      <c r="F4" s="3" t="n"/>
    </row>
    <row r="5">
      <c r="A5" s="4" t="inlineStr">
        <is>
          <t>項目</t>
        </is>
      </c>
      <c r="B5" s="4" t="inlineStr">
        <is>
          <t>FY21-25
(5か年加速化)</t>
        </is>
      </c>
      <c r="C5" s="4" t="inlineStr">
        <is>
          <t>FY26-30
(次期計画)</t>
        </is>
      </c>
      <c r="D5" s="4" t="inlineStr">
        <is>
          <t>増減額</t>
        </is>
      </c>
      <c r="E5" s="4" t="inlineStr">
        <is>
          <t>増減率</t>
        </is>
      </c>
      <c r="F5" s="4" t="inlineStr">
        <is>
          <t>備考</t>
        </is>
      </c>
    </row>
    <row r="6" ht="26" customHeight="1">
      <c r="A6" s="6" t="inlineStr">
        <is>
          <t>事業規模（5年間合計）</t>
        </is>
      </c>
      <c r="B6" s="7" t="inlineStr">
        <is>
          <t>約15兆円</t>
        </is>
      </c>
      <c r="C6" s="7" t="inlineStr">
        <is>
          <t>約20兆円超</t>
        </is>
      </c>
      <c r="D6" s="21" t="inlineStr">
        <is>
          <t>+5兆円超</t>
        </is>
      </c>
      <c r="E6" s="7" t="inlineStr">
        <is>
          <t>+33%超</t>
        </is>
      </c>
      <c r="F6" s="19" t="inlineStr">
        <is>
          <t>閣議決定ベース(2025年6月)</t>
        </is>
      </c>
    </row>
    <row r="7" ht="26" customHeight="1">
      <c r="A7" s="6" t="inlineStr">
        <is>
          <t>年平均事業規模</t>
        </is>
      </c>
      <c r="B7" s="7" t="inlineStr">
        <is>
          <t>約3.0兆円/年</t>
        </is>
      </c>
      <c r="C7" s="7" t="inlineStr">
        <is>
          <t>約4.0兆円/年</t>
        </is>
      </c>
      <c r="D7" s="21" t="inlineStr">
        <is>
          <t>+1.0兆円/年</t>
        </is>
      </c>
      <c r="E7" s="7" t="inlineStr">
        <is>
          <t>+33%</t>
        </is>
      </c>
      <c r="F7" s="19" t="inlineStr">
        <is>
          <t>単純平均</t>
        </is>
      </c>
    </row>
    <row r="8" ht="26" customHeight="1">
      <c r="A8" s="6" t="inlineStr">
        <is>
          <t>うち国費</t>
        </is>
      </c>
      <c r="B8" s="7" t="inlineStr">
        <is>
          <t>約7.8兆円</t>
        </is>
      </c>
      <c r="C8" s="7" t="inlineStr">
        <is>
          <t>（未確定）</t>
        </is>
      </c>
      <c r="D8" s="7" t="inlineStr">
        <is>
          <t>―</t>
        </is>
      </c>
      <c r="E8" s="7" t="inlineStr">
        <is>
          <t>―</t>
        </is>
      </c>
      <c r="F8" s="19" t="inlineStr">
        <is>
          <t>毎年度の予算編成で決定</t>
        </is>
      </c>
    </row>
    <row r="9" ht="26" customHeight="1">
      <c r="A9" s="6" t="inlineStr">
        <is>
          <t>対象分野数</t>
        </is>
      </c>
      <c r="B9" s="7" t="inlineStr">
        <is>
          <t>123対策</t>
        </is>
      </c>
      <c r="C9" s="7" t="inlineStr">
        <is>
          <t>114対策</t>
        </is>
      </c>
      <c r="D9" s="7" t="inlineStr">
        <is>
          <t>▲9対策</t>
        </is>
      </c>
      <c r="E9" s="7" t="inlineStr">
        <is>
          <t>―</t>
        </is>
      </c>
      <c r="F9" s="19" t="inlineStr">
        <is>
          <t>重点化・集約化の方向</t>
        </is>
      </c>
    </row>
    <row r="11">
      <c r="A11" s="3" t="inlineStr">
        <is>
          <t>B. 土木セグメントへの受注インパクト試算（トランスミッション）</t>
        </is>
      </c>
      <c r="B11" s="3" t="n"/>
      <c r="C11" s="3" t="n"/>
      <c r="D11" s="3" t="n"/>
      <c r="E11" s="3" t="n"/>
      <c r="F11" s="3" t="n"/>
    </row>
    <row r="12">
      <c r="A12" s="5" t="inlineStr">
        <is>
          <t>B-1. トランスミッション経路</t>
        </is>
      </c>
      <c r="B12" s="5" t="n"/>
      <c r="C12" s="5" t="n"/>
      <c r="D12" s="5" t="n"/>
      <c r="E12" s="5" t="n"/>
      <c r="F12" s="5" t="n"/>
    </row>
    <row r="13">
      <c r="A13" s="4" t="inlineStr">
        <is>
          <t>ステップ</t>
        </is>
      </c>
      <c r="B13" s="4" t="inlineStr">
        <is>
          <t>保守的
(Low)</t>
        </is>
      </c>
      <c r="C13" s="4" t="inlineStr">
        <is>
          <t>中央値
(Mid)</t>
        </is>
      </c>
      <c r="D13" s="4" t="inlineStr">
        <is>
          <t>楽観的
(High)</t>
        </is>
      </c>
      <c r="E13" s="4" t="inlineStr">
        <is>
          <t>―</t>
        </is>
      </c>
      <c r="F13" s="4" t="inlineStr">
        <is>
          <t>算出ロジック</t>
        </is>
      </c>
    </row>
    <row r="14" ht="36" customHeight="1">
      <c r="A14" s="6" t="inlineStr">
        <is>
          <t>① 次期計画 年間事業規模</t>
        </is>
      </c>
      <c r="B14" s="7" t="inlineStr">
        <is>
          <t>3.8兆円</t>
        </is>
      </c>
      <c r="C14" s="7" t="inlineStr">
        <is>
          <t>4.0兆円</t>
        </is>
      </c>
      <c r="D14" s="7" t="inlineStr">
        <is>
          <t>4.5兆円</t>
        </is>
      </c>
      <c r="E14" s="7" t="inlineStr"/>
      <c r="F14" s="19" t="inlineStr">
        <is>
          <t>閣議決定の幅を考慮した
3シナリオ</t>
        </is>
      </c>
    </row>
    <row r="15" ht="36" customHeight="1">
      <c r="A15" s="6" t="inlineStr">
        <is>
          <t>② うち土木工事相当
（事業費の約70%）</t>
        </is>
      </c>
      <c r="B15" s="7" t="inlineStr">
        <is>
          <t>2.66兆円</t>
        </is>
      </c>
      <c r="C15" s="7" t="inlineStr">
        <is>
          <t>2.80兆円</t>
        </is>
      </c>
      <c r="D15" s="7" t="inlineStr">
        <is>
          <t>3.15兆円</t>
        </is>
      </c>
      <c r="E15" s="7" t="inlineStr"/>
      <c r="F15" s="19" t="inlineStr">
        <is>
          <t>事業費に占める工事費比率
（過去実績ベース）</t>
        </is>
      </c>
    </row>
    <row r="16" ht="36" customHeight="1">
      <c r="A16" s="6" t="inlineStr">
        <is>
          <t>③ うち大手ゼネコン
シェア（上位5社計）</t>
        </is>
      </c>
      <c r="B16" s="7" t="inlineStr">
        <is>
          <t>25%</t>
        </is>
      </c>
      <c r="C16" s="7" t="inlineStr">
        <is>
          <t>28%</t>
        </is>
      </c>
      <c r="D16" s="7" t="inlineStr">
        <is>
          <t>30%</t>
        </is>
      </c>
      <c r="E16" s="7" t="inlineStr"/>
      <c r="F16" s="19" t="inlineStr">
        <is>
          <t>過去の受注実績から推定
（防災・大型案件は大手偏重）</t>
        </is>
      </c>
    </row>
    <row r="17" ht="36" customHeight="1">
      <c r="A17" s="6" t="inlineStr">
        <is>
          <t>④ 大手5社 合計受注想定</t>
        </is>
      </c>
      <c r="B17" s="7" t="inlineStr">
        <is>
          <t>6,650億円</t>
        </is>
      </c>
      <c r="C17" s="7" t="inlineStr">
        <is>
          <t>7,840億円</t>
        </is>
      </c>
      <c r="D17" s="7" t="inlineStr">
        <is>
          <t>9,450億円</t>
        </is>
      </c>
      <c r="E17" s="7" t="inlineStr"/>
      <c r="F17" s="19">
        <f> ② × ③</f>
        <v/>
      </c>
    </row>
    <row r="18" ht="36" customHeight="1">
      <c r="A18" s="6" t="inlineStr">
        <is>
          <t>⑤ うち鹿島建設シェア
（5社中）</t>
        </is>
      </c>
      <c r="B18" s="7" t="inlineStr">
        <is>
          <t>18%</t>
        </is>
      </c>
      <c r="C18" s="7" t="inlineStr">
        <is>
          <t>20%</t>
        </is>
      </c>
      <c r="D18" s="7" t="inlineStr">
        <is>
          <t>22%</t>
        </is>
      </c>
      <c r="E18" s="7" t="inlineStr"/>
      <c r="F18" s="19" t="inlineStr">
        <is>
          <t>鹿島のダム・トンネル技術
優位性を考慮</t>
        </is>
      </c>
    </row>
    <row r="19" ht="36" customHeight="1">
      <c r="A19" s="6" t="inlineStr">
        <is>
          <t>⑥ 鹿島 強靱化関連
土木受注（年間）</t>
        </is>
      </c>
      <c r="B19" s="7" t="inlineStr">
        <is>
          <t>1,197億円</t>
        </is>
      </c>
      <c r="C19" s="7" t="inlineStr">
        <is>
          <t>1,568億円</t>
        </is>
      </c>
      <c r="D19" s="7" t="inlineStr">
        <is>
          <t>2,079億円</t>
        </is>
      </c>
      <c r="E19" s="7" t="inlineStr"/>
      <c r="F19" s="19">
        <f> ④ × ⑤</f>
        <v/>
      </c>
    </row>
    <row r="20" ht="36" customHeight="1">
      <c r="A20" s="6" t="inlineStr">
        <is>
          <t>⑦ FY25 土木受注実績
（官公庁）</t>
        </is>
      </c>
      <c r="B20" s="7" t="inlineStr">
        <is>
          <t>1,350億円</t>
        </is>
      </c>
      <c r="C20" s="7" t="inlineStr">
        <is>
          <t>1,350億円</t>
        </is>
      </c>
      <c r="D20" s="7" t="inlineStr">
        <is>
          <t>1,350億円</t>
        </is>
      </c>
      <c r="E20" s="7" t="inlineStr"/>
      <c r="F20" s="19" t="inlineStr">
        <is>
          <t>参考値</t>
        </is>
      </c>
    </row>
    <row r="21" ht="36" customHeight="1">
      <c r="A21" s="6" t="inlineStr">
        <is>
          <t>⑧ 強靱化関連からの
受注増分（年間）</t>
        </is>
      </c>
      <c r="B21" s="20" t="inlineStr">
        <is>
          <t>▲153億円</t>
        </is>
      </c>
      <c r="C21" s="21" t="inlineStr">
        <is>
          <t>+218億円</t>
        </is>
      </c>
      <c r="D21" s="21" t="inlineStr">
        <is>
          <t>+729億円</t>
        </is>
      </c>
      <c r="E21" s="7" t="inlineStr"/>
      <c r="F21" s="19">
        <f> ⑥ − ⑦
※Lowは競争激化シナリオ</f>
        <v/>
      </c>
    </row>
    <row r="22" ht="36" customHeight="1">
      <c r="A22" s="6" t="inlineStr">
        <is>
          <t>⑨ 土木セグメント受注
への寄与率</t>
        </is>
      </c>
      <c r="B22" s="20" t="inlineStr">
        <is>
          <t>▲3.8%</t>
        </is>
      </c>
      <c r="C22" s="21" t="inlineStr">
        <is>
          <t>+5.4%</t>
        </is>
      </c>
      <c r="D22" s="21" t="inlineStr">
        <is>
          <t>+18.0%</t>
        </is>
      </c>
      <c r="E22" s="7" t="inlineStr"/>
      <c r="F22" s="19" t="inlineStr">
        <is>
          <t>FY25土木受注高
4,041億円に対する比率</t>
        </is>
      </c>
    </row>
    <row r="24" ht="64" customHeight="1">
      <c r="A24" s="24" t="inlineStr">
        <is>
          <t>【示唆】 中央値シナリオでは、国土強靱化関連で年間+218億円（土木受注の+5.4%）の受注増を見込む。
特に鹿島が技術優位性を持つダム再生・大規模トンネル・橋梁耐震補強の重点3分野での受注確保が鍵。
【推奨アクション】 ①重点3分野の技術提案チーム強化 ②発注者（地整・NEXCO等）への早期アプローチ ③JV戦略の見直し（主幹事率の向上）</t>
        </is>
      </c>
      <c r="B24" s="25" t="n"/>
      <c r="C24" s="25" t="n"/>
      <c r="D24" s="25" t="n"/>
      <c r="E24" s="25" t="n"/>
      <c r="F24" s="25" t="n"/>
    </row>
    <row r="26">
      <c r="A26" s="3" t="inlineStr">
        <is>
          <t>C. 5年間累計のインパクト（中計期間との整合）</t>
        </is>
      </c>
      <c r="B26" s="3" t="n"/>
      <c r="C26" s="3" t="n"/>
      <c r="D26" s="3" t="n"/>
      <c r="E26" s="3" t="n"/>
      <c r="F26" s="3" t="n"/>
    </row>
    <row r="27">
      <c r="A27" s="4" t="inlineStr">
        <is>
          <t>項目</t>
        </is>
      </c>
      <c r="B27" s="4" t="inlineStr">
        <is>
          <t>保守的</t>
        </is>
      </c>
      <c r="C27" s="4" t="inlineStr">
        <is>
          <t>中央値</t>
        </is>
      </c>
      <c r="D27" s="4" t="inlineStr">
        <is>
          <t>楽観的</t>
        </is>
      </c>
      <c r="E27" s="4" t="inlineStr">
        <is>
          <t>―</t>
        </is>
      </c>
      <c r="F27" s="4" t="inlineStr">
        <is>
          <t>備考</t>
        </is>
      </c>
    </row>
    <row r="28" ht="32" customHeight="1">
      <c r="A28" s="6" t="inlineStr">
        <is>
          <t>強靱化関連 土木受注
（5年累計）</t>
        </is>
      </c>
      <c r="B28" s="7" t="inlineStr">
        <is>
          <t>5,985億円</t>
        </is>
      </c>
      <c r="C28" s="7" t="inlineStr">
        <is>
          <t>7,840億円</t>
        </is>
      </c>
      <c r="D28" s="7" t="inlineStr">
        <is>
          <t>10,395億円</t>
        </is>
      </c>
      <c r="E28" s="7" t="inlineStr"/>
      <c r="F28" s="19">
        <f> 年間 × 5年</f>
        <v/>
      </c>
    </row>
    <row r="29" ht="32" customHeight="1">
      <c r="A29" s="6" t="inlineStr">
        <is>
          <t>FY25実績ペース
との差額（5年累計）</t>
        </is>
      </c>
      <c r="B29" s="20" t="inlineStr">
        <is>
          <t>▲765億円</t>
        </is>
      </c>
      <c r="C29" s="21" t="inlineStr">
        <is>
          <t>+1,090億円</t>
        </is>
      </c>
      <c r="D29" s="21" t="inlineStr">
        <is>
          <t>+3,645億円</t>
        </is>
      </c>
      <c r="E29" s="7" t="inlineStr"/>
      <c r="F29" s="19" t="inlineStr">
        <is>
          <t>FY25官公庁受注
×5年との比較</t>
        </is>
      </c>
    </row>
    <row r="30" ht="32" customHeight="1">
      <c r="A30" s="6" t="inlineStr">
        <is>
          <t>土木セグメント利益
への影響（5年累計）</t>
        </is>
      </c>
      <c r="B30" s="20" t="inlineStr">
        <is>
          <t>▲53億円</t>
        </is>
      </c>
      <c r="C30" s="21" t="inlineStr">
        <is>
          <t>+76億円</t>
        </is>
      </c>
      <c r="D30" s="21" t="inlineStr">
        <is>
          <t>+255億円</t>
        </is>
      </c>
      <c r="E30" s="7" t="inlineStr"/>
      <c r="F30" s="19" t="inlineStr">
        <is>
          <t>想定利益率7%を適用</t>
        </is>
      </c>
    </row>
    <row r="31" ht="32" customHeight="1">
      <c r="A31" s="6" t="inlineStr">
        <is>
          <t>連結経常利益への
寄与（年間平均）</t>
        </is>
      </c>
      <c r="B31" s="20" t="inlineStr">
        <is>
          <t>▲11億円</t>
        </is>
      </c>
      <c r="C31" s="21" t="inlineStr">
        <is>
          <t>+15億円</t>
        </is>
      </c>
      <c r="D31" s="21" t="inlineStr">
        <is>
          <t>+51億円</t>
        </is>
      </c>
      <c r="E31" s="7" t="inlineStr"/>
      <c r="F31" s="19" t="inlineStr">
        <is>
          <t>5年平均ベース</t>
        </is>
      </c>
    </row>
    <row r="33">
      <c r="A33" s="3" t="inlineStr">
        <is>
          <t>D. 重点分野別の受注機会マッピング</t>
        </is>
      </c>
      <c r="B33" s="3" t="n"/>
      <c r="C33" s="3" t="n"/>
      <c r="D33" s="3" t="n"/>
      <c r="E33" s="3" t="n"/>
      <c r="F33" s="3" t="n"/>
    </row>
    <row r="34">
      <c r="A34" s="4" t="inlineStr">
        <is>
          <t>重点分野</t>
        </is>
      </c>
      <c r="B34" s="4" t="inlineStr">
        <is>
          <t>次期計画での
位置づけ</t>
        </is>
      </c>
      <c r="C34" s="4" t="inlineStr">
        <is>
          <t>市場規模
(年間推定)</t>
        </is>
      </c>
      <c r="D34" s="4" t="inlineStr">
        <is>
          <t>鹿島の
技術優位性</t>
        </is>
      </c>
      <c r="E34" s="4" t="inlineStr">
        <is>
          <t>受注ポテンシャル
(年間)</t>
        </is>
      </c>
      <c r="F34" s="4" t="inlineStr">
        <is>
          <t>主な発注者</t>
        </is>
      </c>
    </row>
    <row r="35" ht="42" customHeight="1">
      <c r="A35" s="6" t="inlineStr">
        <is>
          <t>ダム再生
（既設ダムの機能向上）</t>
        </is>
      </c>
      <c r="B35" s="26" t="inlineStr">
        <is>
          <t>最重点
（気候変動対応）</t>
        </is>
      </c>
      <c r="C35" s="26" t="inlineStr">
        <is>
          <t>2,500-3,000
億円</t>
        </is>
      </c>
      <c r="D35" s="26" t="inlineStr">
        <is>
          <t>◎
（業界トップ実績）</t>
        </is>
      </c>
      <c r="E35" s="26" t="inlineStr">
        <is>
          <t>300-500億円</t>
        </is>
      </c>
      <c r="F35" s="26" t="inlineStr">
        <is>
          <t>国交省水管理・国保局
水資源機構</t>
        </is>
      </c>
    </row>
    <row r="36" ht="42" customHeight="1">
      <c r="A36" s="6" t="inlineStr">
        <is>
          <t>大規模トンネル
（山岳/シールド）</t>
        </is>
      </c>
      <c r="B36" s="26" t="inlineStr">
        <is>
          <t>重点
（老朽化更新）</t>
        </is>
      </c>
      <c r="C36" s="26" t="inlineStr">
        <is>
          <t>3,000-4,000
億円</t>
        </is>
      </c>
      <c r="D36" s="26" t="inlineStr">
        <is>
          <t>◎
（シールド技術）</t>
        </is>
      </c>
      <c r="E36" s="26" t="inlineStr">
        <is>
          <t>400-600億円</t>
        </is>
      </c>
      <c r="F36" s="26" t="inlineStr">
        <is>
          <t>NEXCO各社
鉄道・運輸機構</t>
        </is>
      </c>
    </row>
    <row r="37" ht="42" customHeight="1">
      <c r="A37" s="6" t="inlineStr">
        <is>
          <t>橋梁耐震補強
・架け替え</t>
        </is>
      </c>
      <c r="B37" s="26" t="inlineStr">
        <is>
          <t>重点
（耐震・老朽化）</t>
        </is>
      </c>
      <c r="C37" s="26" t="inlineStr">
        <is>
          <t>2,000-2,500
億円</t>
        </is>
      </c>
      <c r="D37" s="26" t="inlineStr">
        <is>
          <t>○</t>
        </is>
      </c>
      <c r="E37" s="26" t="inlineStr">
        <is>
          <t>200-350億円</t>
        </is>
      </c>
      <c r="F37" s="26" t="inlineStr">
        <is>
          <t>国交省地方整備局
高速道路各社</t>
        </is>
      </c>
    </row>
    <row r="38" ht="42" customHeight="1">
      <c r="A38" s="6" t="inlineStr">
        <is>
          <t>河川・海岸堤防
強化</t>
        </is>
      </c>
      <c r="B38" s="26" t="inlineStr">
        <is>
          <t>重点
（激甚化対応）</t>
        </is>
      </c>
      <c r="C38" s="26" t="inlineStr">
        <is>
          <t>1,500-2,000
億円</t>
        </is>
      </c>
      <c r="D38" s="26" t="inlineStr">
        <is>
          <t>○</t>
        </is>
      </c>
      <c r="E38" s="26" t="inlineStr">
        <is>
          <t>150-250億円</t>
        </is>
      </c>
      <c r="F38" s="26" t="inlineStr">
        <is>
          <t>国交省
各都道府県</t>
        </is>
      </c>
    </row>
    <row r="39" ht="42" customHeight="1">
      <c r="A39" s="6" t="inlineStr">
        <is>
          <t>港湾・空港
インフラ更新</t>
        </is>
      </c>
      <c r="B39" s="26" t="inlineStr">
        <is>
          <t>重点</t>
        </is>
      </c>
      <c r="C39" s="26" t="inlineStr">
        <is>
          <t>1,000-1,500
億円</t>
        </is>
      </c>
      <c r="D39" s="26" t="inlineStr">
        <is>
          <t>△
（競合優位少）</t>
        </is>
      </c>
      <c r="E39" s="26" t="inlineStr">
        <is>
          <t>50-100億円</t>
        </is>
      </c>
      <c r="F39" s="26" t="inlineStr">
        <is>
          <t>国交省港湾局
各管理者</t>
        </is>
      </c>
    </row>
  </sheetData>
  <mergeCells count="8">
    <mergeCell ref="A24:F24"/>
    <mergeCell ref="A2:F2"/>
    <mergeCell ref="A11:F11"/>
    <mergeCell ref="A33:F33"/>
    <mergeCell ref="A1:F1"/>
    <mergeCell ref="A12:F12"/>
    <mergeCell ref="A4:F4"/>
    <mergeCell ref="A26:F2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45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2" customHeight="1">
      <c r="A1" s="16" t="inlineStr">
        <is>
          <t>鹿島建設 セグメント別業績・社内KPIスナップショット（FY25実績）</t>
        </is>
      </c>
    </row>
    <row r="2">
      <c r="A2" s="2" t="inlineStr">
        <is>
          <t>出所: 2025年3月期 決算短信 / 決算説明会資料 / 社内管理データ（想定）  |  単位: 億円（特記なき場合）</t>
        </is>
      </c>
    </row>
    <row r="4">
      <c r="A4" s="3" t="inlineStr">
        <is>
          <t>A. セグメント別業績概要（FY25実績 = 2025年3月期）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セグメント</t>
        </is>
      </c>
      <c r="B5" s="4" t="inlineStr">
        <is>
          <t>受注高</t>
        </is>
      </c>
      <c r="C5" s="4" t="inlineStr">
        <is>
          <t>売上高</t>
        </is>
      </c>
      <c r="D5" s="4" t="inlineStr">
        <is>
          <t>営業利益</t>
        </is>
      </c>
      <c r="E5" s="4" t="inlineStr">
        <is>
          <t>営業利益率</t>
        </is>
      </c>
      <c r="F5" s="4" t="inlineStr">
        <is>
          <t>受注残高</t>
        </is>
      </c>
      <c r="G5" s="4" t="inlineStr">
        <is>
          <t>前年比(売上)</t>
        </is>
      </c>
    </row>
    <row r="6" ht="24" customHeight="1">
      <c r="A6" s="6" t="inlineStr">
        <is>
          <t>土木事業</t>
        </is>
      </c>
      <c r="B6" s="7" t="inlineStr">
        <is>
          <t>5,280</t>
        </is>
      </c>
      <c r="C6" s="7" t="inlineStr">
        <is>
          <t>4,041</t>
        </is>
      </c>
      <c r="D6" s="7" t="inlineStr">
        <is>
          <t>357</t>
        </is>
      </c>
      <c r="E6" s="7" t="inlineStr">
        <is>
          <t>8.8%</t>
        </is>
      </c>
      <c r="F6" s="7" t="inlineStr">
        <is>
          <t>9,850</t>
        </is>
      </c>
      <c r="G6" s="7" t="inlineStr">
        <is>
          <t>+11.2%</t>
        </is>
      </c>
    </row>
    <row r="7" ht="24" customHeight="1">
      <c r="A7" s="6" t="inlineStr">
        <is>
          <t>建築事業</t>
        </is>
      </c>
      <c r="B7" s="7" t="inlineStr">
        <is>
          <t>16,830</t>
        </is>
      </c>
      <c r="C7" s="7" t="inlineStr">
        <is>
          <t>10,534</t>
        </is>
      </c>
      <c r="D7" s="7" t="inlineStr">
        <is>
          <t>512</t>
        </is>
      </c>
      <c r="E7" s="7" t="inlineStr">
        <is>
          <t>4.9%</t>
        </is>
      </c>
      <c r="F7" s="7" t="inlineStr">
        <is>
          <t>18,200</t>
        </is>
      </c>
      <c r="G7" s="20" t="inlineStr">
        <is>
          <t>-4.6%</t>
        </is>
      </c>
    </row>
    <row r="8" ht="24" customHeight="1">
      <c r="A8" s="6" t="inlineStr">
        <is>
          <t>開発事業等</t>
        </is>
      </c>
      <c r="B8" s="7" t="inlineStr">
        <is>
          <t>―</t>
        </is>
      </c>
      <c r="C8" s="7" t="inlineStr">
        <is>
          <t>1,023</t>
        </is>
      </c>
      <c r="D8" s="7" t="inlineStr">
        <is>
          <t>278</t>
        </is>
      </c>
      <c r="E8" s="7" t="inlineStr">
        <is>
          <t>27.2%</t>
        </is>
      </c>
      <c r="F8" s="7" t="inlineStr">
        <is>
          <t>―</t>
        </is>
      </c>
      <c r="G8" s="7" t="inlineStr">
        <is>
          <t>+19.9%</t>
        </is>
      </c>
    </row>
    <row r="9" ht="24" customHeight="1">
      <c r="A9" s="6" t="inlineStr">
        <is>
          <t>国内関係会社</t>
        </is>
      </c>
      <c r="B9" s="7" t="inlineStr">
        <is>
          <t>―</t>
        </is>
      </c>
      <c r="C9" s="7" t="inlineStr">
        <is>
          <t>3,546</t>
        </is>
      </c>
      <c r="D9" s="7" t="inlineStr">
        <is>
          <t>164</t>
        </is>
      </c>
      <c r="E9" s="7" t="inlineStr">
        <is>
          <t>4.6%</t>
        </is>
      </c>
      <c r="F9" s="7" t="inlineStr">
        <is>
          <t>―</t>
        </is>
      </c>
      <c r="G9" s="20" t="inlineStr">
        <is>
          <t>-3.5%</t>
        </is>
      </c>
    </row>
    <row r="10" ht="24" customHeight="1">
      <c r="A10" s="6" t="inlineStr">
        <is>
          <t>海外関係会社</t>
        </is>
      </c>
      <c r="B10" s="7" t="inlineStr">
        <is>
          <t>―</t>
        </is>
      </c>
      <c r="C10" s="7" t="inlineStr">
        <is>
          <t>11,145</t>
        </is>
      </c>
      <c r="D10" s="7" t="inlineStr">
        <is>
          <t>200</t>
        </is>
      </c>
      <c r="E10" s="7" t="inlineStr">
        <is>
          <t>1.8%</t>
        </is>
      </c>
      <c r="F10" s="7" t="inlineStr">
        <is>
          <t>―</t>
        </is>
      </c>
      <c r="G10" s="7" t="inlineStr">
        <is>
          <t>+29.6%</t>
        </is>
      </c>
    </row>
    <row r="11" ht="24" customHeight="1">
      <c r="A11" s="6" t="inlineStr">
        <is>
          <t>調整額</t>
        </is>
      </c>
      <c r="B11" s="7" t="inlineStr">
        <is>
          <t>―</t>
        </is>
      </c>
      <c r="C11" s="20" t="inlineStr">
        <is>
          <t>▲1,171</t>
        </is>
      </c>
      <c r="D11" s="7" t="inlineStr">
        <is>
          <t>―</t>
        </is>
      </c>
      <c r="E11" s="7" t="inlineStr">
        <is>
          <t>―</t>
        </is>
      </c>
      <c r="F11" s="7" t="inlineStr">
        <is>
          <t>―</t>
        </is>
      </c>
      <c r="G11" s="7" t="inlineStr">
        <is>
          <t>―</t>
        </is>
      </c>
    </row>
    <row r="12" ht="24" customHeight="1">
      <c r="A12" s="27" t="inlineStr">
        <is>
          <t>連結合計</t>
        </is>
      </c>
      <c r="B12" s="28" t="inlineStr">
        <is>
          <t>26,245</t>
        </is>
      </c>
      <c r="C12" s="28" t="inlineStr">
        <is>
          <t>29,118</t>
        </is>
      </c>
      <c r="D12" s="28" t="inlineStr">
        <is>
          <t>1,720</t>
        </is>
      </c>
      <c r="E12" s="28" t="inlineStr">
        <is>
          <t>5.9%</t>
        </is>
      </c>
      <c r="F12" s="28" t="inlineStr">
        <is>
          <t>28,050</t>
        </is>
      </c>
      <c r="G12" s="28" t="inlineStr">
        <is>
          <t>+9.3%</t>
        </is>
      </c>
    </row>
    <row r="14">
      <c r="A14" s="3" t="inlineStr">
        <is>
          <t>B. 建設受注の構成分析（FY25実績・単体）</t>
        </is>
      </c>
      <c r="B14" s="3" t="n"/>
      <c r="C14" s="3" t="n"/>
      <c r="D14" s="3" t="n"/>
      <c r="E14" s="3" t="n"/>
      <c r="F14" s="3" t="n"/>
      <c r="G14" s="3" t="n"/>
    </row>
    <row r="15">
      <c r="A15" s="5" t="inlineStr">
        <is>
          <t>B-1. 官民比率</t>
        </is>
      </c>
      <c r="B15" s="5" t="n"/>
      <c r="C15" s="5" t="n"/>
      <c r="D15" s="5" t="n"/>
      <c r="E15" s="5" t="n"/>
      <c r="F15" s="5" t="n"/>
      <c r="G15" s="5" t="n"/>
    </row>
    <row r="16">
      <c r="A16" s="4" t="inlineStr">
        <is>
          <t>区分</t>
        </is>
      </c>
      <c r="B16" s="4" t="inlineStr">
        <is>
          <t>土木</t>
        </is>
      </c>
      <c r="C16" s="4" t="inlineStr">
        <is>
          <t>建築</t>
        </is>
      </c>
      <c r="D16" s="4" t="inlineStr">
        <is>
          <t>合計</t>
        </is>
      </c>
      <c r="E16" s="4" t="inlineStr">
        <is>
          <t>構成比</t>
        </is>
      </c>
      <c r="F16" s="4" t="inlineStr">
        <is>
          <t>前年比</t>
        </is>
      </c>
      <c r="G16" s="4" t="inlineStr">
        <is>
          <t>マクロ連動指標</t>
        </is>
      </c>
    </row>
    <row r="17" ht="28" customHeight="1">
      <c r="A17" s="6" t="inlineStr">
        <is>
          <t>官公庁</t>
        </is>
      </c>
      <c r="B17" s="7" t="inlineStr">
        <is>
          <t>3,520</t>
        </is>
      </c>
      <c r="C17" s="7" t="inlineStr">
        <is>
          <t>1,850</t>
        </is>
      </c>
      <c r="D17" s="7" t="inlineStr">
        <is>
          <t>5,370</t>
        </is>
      </c>
      <c r="E17" s="7" t="inlineStr">
        <is>
          <t>24.3%</t>
        </is>
      </c>
      <c r="F17" s="7" t="inlineStr">
        <is>
          <t>+3.2%</t>
        </is>
      </c>
      <c r="G17" s="7" t="inlineStr">
        <is>
          <t>公共事業関係費
国土強靱化予算</t>
        </is>
      </c>
    </row>
    <row r="18" ht="28" customHeight="1">
      <c r="A18" s="6" t="inlineStr">
        <is>
          <t>民間</t>
        </is>
      </c>
      <c r="B18" s="7" t="inlineStr">
        <is>
          <t>1,760</t>
        </is>
      </c>
      <c r="C18" s="7" t="inlineStr">
        <is>
          <t>14,980</t>
        </is>
      </c>
      <c r="D18" s="7" t="inlineStr">
        <is>
          <t>16,740</t>
        </is>
      </c>
      <c r="E18" s="7" t="inlineStr">
        <is>
          <t>75.7%</t>
        </is>
      </c>
      <c r="F18" s="7" t="inlineStr">
        <is>
          <t>-2.1%</t>
        </is>
      </c>
      <c r="G18" s="7" t="inlineStr">
        <is>
          <t>日銀短観 設備投資
民間着工統計</t>
        </is>
      </c>
    </row>
    <row r="19" ht="28" customHeight="1">
      <c r="A19" s="27" t="inlineStr">
        <is>
          <t>合計</t>
        </is>
      </c>
      <c r="B19" s="28" t="inlineStr">
        <is>
          <t>5,280</t>
        </is>
      </c>
      <c r="C19" s="28" t="inlineStr">
        <is>
          <t>16,830</t>
        </is>
      </c>
      <c r="D19" s="28" t="inlineStr">
        <is>
          <t>22,110</t>
        </is>
      </c>
      <c r="E19" s="28" t="inlineStr">
        <is>
          <t>100.0%</t>
        </is>
      </c>
      <c r="F19" s="28" t="inlineStr">
        <is>
          <t>-0.5%</t>
        </is>
      </c>
      <c r="G19" s="28" t="inlineStr">
        <is>
          <t>―</t>
        </is>
      </c>
    </row>
    <row r="21">
      <c r="A21" s="5" t="inlineStr">
        <is>
          <t>B-2. エリア別受注構成（建設事業・単体）</t>
        </is>
      </c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エリア</t>
        </is>
      </c>
      <c r="B22" s="4" t="inlineStr">
        <is>
          <t>受注高</t>
        </is>
      </c>
      <c r="C22" s="4" t="inlineStr">
        <is>
          <t>構成比</t>
        </is>
      </c>
      <c r="D22" s="4" t="inlineStr">
        <is>
          <t>前年比</t>
        </is>
      </c>
      <c r="E22" s="4" t="inlineStr">
        <is>
          <t>主要案件タイプ</t>
        </is>
      </c>
      <c r="F22" s="4" t="inlineStr">
        <is>
          <t>地域の市況</t>
        </is>
      </c>
      <c r="G22" s="4" t="inlineStr">
        <is>
          <t>リスク/機会</t>
        </is>
      </c>
    </row>
    <row r="23" ht="36" customHeight="1">
      <c r="A23" s="6" t="inlineStr">
        <is>
          <t>首都圏</t>
        </is>
      </c>
      <c r="B23" s="7" t="inlineStr">
        <is>
          <t>13,270</t>
        </is>
      </c>
      <c r="C23" s="7" t="inlineStr">
        <is>
          <t>60.0%</t>
        </is>
      </c>
      <c r="D23" s="7" t="inlineStr">
        <is>
          <t>+1.2%</t>
        </is>
      </c>
      <c r="E23" s="9" t="inlineStr">
        <is>
          <t>再開発/オフィス/物流</t>
        </is>
      </c>
      <c r="F23" s="9" t="inlineStr">
        <is>
          <t>空室率低下・賃料上昇</t>
        </is>
      </c>
      <c r="G23" s="9" t="inlineStr">
        <is>
          <t>金利上昇→デベロッパー
投資判断に影響</t>
        </is>
      </c>
    </row>
    <row r="24" ht="36" customHeight="1">
      <c r="A24" s="6" t="inlineStr">
        <is>
          <t>関西圏</t>
        </is>
      </c>
      <c r="B24" s="7" t="inlineStr">
        <is>
          <t>3,980</t>
        </is>
      </c>
      <c r="C24" s="7" t="inlineStr">
        <is>
          <t>18.0%</t>
        </is>
      </c>
      <c r="D24" s="7" t="inlineStr">
        <is>
          <t>+5.5%</t>
        </is>
      </c>
      <c r="E24" s="9" t="inlineStr">
        <is>
          <t>万博関連/IR/工場</t>
        </is>
      </c>
      <c r="F24" s="9" t="inlineStr">
        <is>
          <t>万博特需の反動減
見込み</t>
        </is>
      </c>
      <c r="G24" s="9" t="inlineStr">
        <is>
          <t>FY27以降の需要維持
が課題</t>
        </is>
      </c>
    </row>
    <row r="25" ht="36" customHeight="1">
      <c r="A25" s="6" t="inlineStr">
        <is>
          <t>中部圏</t>
        </is>
      </c>
      <c r="B25" s="7" t="inlineStr">
        <is>
          <t>2,210</t>
        </is>
      </c>
      <c r="C25" s="7" t="inlineStr">
        <is>
          <t>10.0%</t>
        </is>
      </c>
      <c r="D25" s="7" t="inlineStr">
        <is>
          <t>-2.0%</t>
        </is>
      </c>
      <c r="E25" s="9" t="inlineStr">
        <is>
          <t>自動車関連/工場</t>
        </is>
      </c>
      <c r="F25" s="9" t="inlineStr">
        <is>
          <t>自動車EV投資は
底堅い</t>
        </is>
      </c>
      <c r="G25" s="9" t="inlineStr">
        <is>
          <t>半導体関連の
新規需要あり</t>
        </is>
      </c>
    </row>
    <row r="26" ht="36" customHeight="1">
      <c r="A26" s="6" t="inlineStr">
        <is>
          <t>その他</t>
        </is>
      </c>
      <c r="B26" s="7" t="inlineStr">
        <is>
          <t>2,650</t>
        </is>
      </c>
      <c r="C26" s="7" t="inlineStr">
        <is>
          <t>12.0%</t>
        </is>
      </c>
      <c r="D26" s="7" t="inlineStr">
        <is>
          <t>+8.3%</t>
        </is>
      </c>
      <c r="E26" s="9" t="inlineStr">
        <is>
          <t>半導体工場/DC</t>
        </is>
      </c>
      <c r="F26" s="9" t="inlineStr">
        <is>
          <t>地方でのDC建設
急増</t>
        </is>
      </c>
      <c r="G26" s="9" t="inlineStr">
        <is>
          <t>北海道・九州の
大型案件</t>
        </is>
      </c>
    </row>
    <row r="28">
      <c r="A28" s="3" t="inlineStr">
        <is>
          <t>C. 開発事業ポートフォリオ（FY25末時点）</t>
        </is>
      </c>
      <c r="B28" s="3" t="n"/>
      <c r="C28" s="3" t="n"/>
      <c r="D28" s="3" t="n"/>
      <c r="E28" s="3" t="n"/>
      <c r="F28" s="3" t="n"/>
      <c r="G28" s="3" t="n"/>
    </row>
    <row r="29">
      <c r="A29" s="4" t="inlineStr">
        <is>
          <t>物件タイプ</t>
        </is>
      </c>
      <c r="B29" s="4" t="inlineStr">
        <is>
          <t>簿価</t>
        </is>
      </c>
      <c r="C29" s="4" t="inlineStr">
        <is>
          <t>構成比</t>
        </is>
      </c>
      <c r="D29" s="4" t="inlineStr">
        <is>
          <t>想定時価</t>
        </is>
      </c>
      <c r="E29" s="4" t="inlineStr">
        <is>
          <t>含み益</t>
        </is>
      </c>
      <c r="F29" s="4" t="inlineStr">
        <is>
          <t>稼働率/進捗</t>
        </is>
      </c>
      <c r="G29" s="4" t="inlineStr">
        <is>
          <t>金利感応度（+50bp時）</t>
        </is>
      </c>
    </row>
    <row r="30" ht="32" customHeight="1">
      <c r="A30" s="6" t="inlineStr">
        <is>
          <t>オフィス</t>
        </is>
      </c>
      <c r="B30" s="7" t="inlineStr">
        <is>
          <t>1,750</t>
        </is>
      </c>
      <c r="C30" s="7" t="inlineStr">
        <is>
          <t>36.1%</t>
        </is>
      </c>
      <c r="D30" s="7" t="inlineStr">
        <is>
          <t>2,580</t>
        </is>
      </c>
      <c r="E30" s="7" t="inlineStr">
        <is>
          <t>+830</t>
        </is>
      </c>
      <c r="F30" s="9" t="inlineStr">
        <is>
          <t>稼働率 97.5%</t>
        </is>
      </c>
      <c r="G30" s="29" t="inlineStr">
        <is>
          <t>時価▲200億円
(CAP+30bp)</t>
        </is>
      </c>
    </row>
    <row r="31" ht="32" customHeight="1">
      <c r="A31" s="6" t="inlineStr">
        <is>
          <t>商業施設</t>
        </is>
      </c>
      <c r="B31" s="7" t="inlineStr">
        <is>
          <t>680</t>
        </is>
      </c>
      <c r="C31" s="7" t="inlineStr">
        <is>
          <t>14.0%</t>
        </is>
      </c>
      <c r="D31" s="7" t="inlineStr">
        <is>
          <t>820</t>
        </is>
      </c>
      <c r="E31" s="7" t="inlineStr">
        <is>
          <t>+140</t>
        </is>
      </c>
      <c r="F31" s="9" t="inlineStr">
        <is>
          <t>稼働率 95.2%</t>
        </is>
      </c>
      <c r="G31" s="29" t="inlineStr">
        <is>
          <t>時価▲65億円</t>
        </is>
      </c>
    </row>
    <row r="32" ht="32" customHeight="1">
      <c r="A32" s="6" t="inlineStr">
        <is>
          <t>物流施設</t>
        </is>
      </c>
      <c r="B32" s="7" t="inlineStr">
        <is>
          <t>920</t>
        </is>
      </c>
      <c r="C32" s="7" t="inlineStr">
        <is>
          <t>19.0%</t>
        </is>
      </c>
      <c r="D32" s="7" t="inlineStr">
        <is>
          <t>1,280</t>
        </is>
      </c>
      <c r="E32" s="7" t="inlineStr">
        <is>
          <t>+360</t>
        </is>
      </c>
      <c r="F32" s="9" t="inlineStr">
        <is>
          <t>稼働率 99.1%</t>
        </is>
      </c>
      <c r="G32" s="29" t="inlineStr">
        <is>
          <t>時価▲95億円
（需要堅調で限定的）</t>
        </is>
      </c>
    </row>
    <row r="33" ht="32" customHeight="1">
      <c r="A33" s="6" t="inlineStr">
        <is>
          <t>住宅（分譲）</t>
        </is>
      </c>
      <c r="B33" s="7" t="inlineStr">
        <is>
          <t>540</t>
        </is>
      </c>
      <c r="C33" s="7" t="inlineStr">
        <is>
          <t>11.1%</t>
        </is>
      </c>
      <c r="D33" s="7" t="inlineStr">
        <is>
          <t>620</t>
        </is>
      </c>
      <c r="E33" s="7" t="inlineStr">
        <is>
          <t>+80</t>
        </is>
      </c>
      <c r="F33" s="9" t="inlineStr">
        <is>
          <t>販売進捗 72%</t>
        </is>
      </c>
      <c r="G33" s="9" t="inlineStr">
        <is>
          <t>販売ペース鈍化
リスク</t>
        </is>
      </c>
    </row>
    <row r="34" ht="32" customHeight="1">
      <c r="A34" s="6" t="inlineStr">
        <is>
          <t>開発中案件</t>
        </is>
      </c>
      <c r="B34" s="7" t="inlineStr">
        <is>
          <t>960</t>
        </is>
      </c>
      <c r="C34" s="7" t="inlineStr">
        <is>
          <t>19.8%</t>
        </is>
      </c>
      <c r="D34" s="7" t="inlineStr">
        <is>
          <t>―</t>
        </is>
      </c>
      <c r="E34" s="7" t="inlineStr">
        <is>
          <t>―</t>
        </is>
      </c>
      <c r="F34" s="9" t="inlineStr">
        <is>
          <t>着工前30%
施工中70%</t>
        </is>
      </c>
      <c r="G34" s="29" t="inlineStr">
        <is>
          <t>IRR▲0.7pt
一部案件見直し要</t>
        </is>
      </c>
    </row>
    <row r="35" ht="32" customHeight="1">
      <c r="A35" s="27" t="inlineStr">
        <is>
          <t>合計</t>
        </is>
      </c>
      <c r="B35" s="28" t="inlineStr">
        <is>
          <t>4,850</t>
        </is>
      </c>
      <c r="C35" s="28" t="inlineStr">
        <is>
          <t>100.0%</t>
        </is>
      </c>
      <c r="D35" s="28" t="inlineStr">
        <is>
          <t>5,300超</t>
        </is>
      </c>
      <c r="E35" s="28" t="inlineStr">
        <is>
          <t>+450超</t>
        </is>
      </c>
      <c r="F35" s="30" t="inlineStr">
        <is>
          <t>―</t>
        </is>
      </c>
      <c r="G35" s="31" t="inlineStr">
        <is>
          <t>合計▲360億円
（時価ベース）</t>
        </is>
      </c>
    </row>
    <row r="37">
      <c r="A37" s="3" t="inlineStr">
        <is>
          <t>D. 財務ポジション概要（FY25末）</t>
        </is>
      </c>
      <c r="B37" s="3" t="n"/>
      <c r="C37" s="3" t="n"/>
      <c r="D37" s="3" t="n"/>
      <c r="E37" s="3" t="n"/>
      <c r="F37" s="3" t="n"/>
      <c r="G37" s="3" t="n"/>
    </row>
    <row r="38">
      <c r="A38" s="4" t="inlineStr">
        <is>
          <t>項目</t>
        </is>
      </c>
      <c r="B38" s="4" t="inlineStr">
        <is>
          <t>金額</t>
        </is>
      </c>
      <c r="C38" s="4" t="inlineStr">
        <is>
          <t>構成/比率</t>
        </is>
      </c>
      <c r="D38" s="4" t="inlineStr">
        <is>
          <t>前年比</t>
        </is>
      </c>
      <c r="E38" s="4" t="inlineStr">
        <is>
          <t>備考</t>
        </is>
      </c>
      <c r="F38" s="4" t="inlineStr"/>
      <c r="G38" s="4" t="inlineStr"/>
    </row>
    <row r="39" ht="26" customHeight="1">
      <c r="A39" s="6" t="inlineStr">
        <is>
          <t>有利子負債残高</t>
        </is>
      </c>
      <c r="B39" s="7" t="inlineStr">
        <is>
          <t>8,200億円</t>
        </is>
      </c>
      <c r="C39" s="7" t="inlineStr">
        <is>
          <t>―</t>
        </is>
      </c>
      <c r="D39" s="7" t="inlineStr">
        <is>
          <t>+850億円</t>
        </is>
      </c>
      <c r="E39" s="19" t="inlineStr">
        <is>
          <t>開発事業拡大に伴う増加</t>
        </is>
      </c>
    </row>
    <row r="40" ht="26" customHeight="1">
      <c r="A40" s="6" t="inlineStr">
        <is>
          <t>うち固定金利</t>
        </is>
      </c>
      <c r="B40" s="7" t="inlineStr">
        <is>
          <t>5,330億円</t>
        </is>
      </c>
      <c r="C40" s="7" t="inlineStr">
        <is>
          <t>65%</t>
        </is>
      </c>
      <c r="D40" s="7" t="inlineStr"/>
      <c r="E40" s="19" t="inlineStr">
        <is>
          <t>加重平均残存期間 4.2年</t>
        </is>
      </c>
    </row>
    <row r="41" ht="26" customHeight="1">
      <c r="A41" s="6" t="inlineStr">
        <is>
          <t>うち変動金利</t>
        </is>
      </c>
      <c r="B41" s="7" t="inlineStr">
        <is>
          <t>2,870億円</t>
        </is>
      </c>
      <c r="C41" s="7" t="inlineStr">
        <is>
          <t>35%</t>
        </is>
      </c>
      <c r="D41" s="7" t="inlineStr"/>
      <c r="E41" s="19" t="inlineStr">
        <is>
          <t>金利上昇局面でのリスク要因</t>
        </is>
      </c>
    </row>
    <row r="42" ht="26" customHeight="1">
      <c r="A42" s="6" t="inlineStr">
        <is>
          <t>加重平均借入金利</t>
        </is>
      </c>
      <c r="B42" s="7" t="inlineStr">
        <is>
          <t>0.85%</t>
        </is>
      </c>
      <c r="C42" s="7" t="inlineStr">
        <is>
          <t>―</t>
        </is>
      </c>
      <c r="D42" s="7" t="inlineStr">
        <is>
          <t>+0.12pt</t>
        </is>
      </c>
      <c r="E42" s="19" t="inlineStr">
        <is>
          <t>前年0.73%から上昇</t>
        </is>
      </c>
    </row>
    <row r="43" ht="26" customHeight="1">
      <c r="A43" s="6" t="inlineStr">
        <is>
          <t>ネットD/Eレシオ</t>
        </is>
      </c>
      <c r="B43" s="7" t="inlineStr">
        <is>
          <t>0.62倍</t>
        </is>
      </c>
      <c r="C43" s="7" t="inlineStr">
        <is>
          <t>―</t>
        </is>
      </c>
      <c r="D43" s="7" t="inlineStr">
        <is>
          <t>+0.05</t>
        </is>
      </c>
      <c r="E43" s="19" t="inlineStr">
        <is>
          <t>中計目標: 0.7倍以内</t>
        </is>
      </c>
    </row>
    <row r="44" ht="26" customHeight="1">
      <c r="A44" s="6" t="inlineStr">
        <is>
          <t>自己資本</t>
        </is>
      </c>
      <c r="B44" s="7" t="inlineStr">
        <is>
          <t>1.02兆円</t>
        </is>
      </c>
      <c r="C44" s="7" t="inlineStr">
        <is>
          <t>自己資本比率 32.5%</t>
        </is>
      </c>
      <c r="D44" s="7" t="inlineStr">
        <is>
          <t>+0.8pt</t>
        </is>
      </c>
      <c r="E44" s="19" t="inlineStr"/>
    </row>
    <row r="45" ht="26" customHeight="1">
      <c r="A45" s="6" t="inlineStr">
        <is>
          <t>政策保有株式 時価</t>
        </is>
      </c>
      <c r="B45" s="7" t="inlineStr">
        <is>
          <t>3,200億円</t>
        </is>
      </c>
      <c r="C45" s="7" t="inlineStr">
        <is>
          <t>―</t>
        </is>
      </c>
      <c r="D45" s="7" t="inlineStr">
        <is>
          <t>+280億円</t>
        </is>
      </c>
      <c r="E45" s="19" t="inlineStr">
        <is>
          <t>売却による利益実現の
オプションとして保持</t>
        </is>
      </c>
    </row>
  </sheetData>
  <mergeCells count="15">
    <mergeCell ref="A14:G14"/>
    <mergeCell ref="E42:G42"/>
    <mergeCell ref="A1:G1"/>
    <mergeCell ref="E41:G41"/>
    <mergeCell ref="E45:G45"/>
    <mergeCell ref="A21:G21"/>
    <mergeCell ref="E39:G39"/>
    <mergeCell ref="A4:G4"/>
    <mergeCell ref="E40:G40"/>
    <mergeCell ref="A2:G2"/>
    <mergeCell ref="A15:G15"/>
    <mergeCell ref="E44:G44"/>
    <mergeCell ref="E43:G43"/>
    <mergeCell ref="A28:G28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2026-04-12T12:47:01Z</dcterms:created>
  <dcterms:modified xmlns:dcterms="http://purl.org/dc/terms/" xmlns:xsi="http://www.w3.org/2001/XMLSchema-instance" xsi:type="dcterms:W3CDTF">2026-04-12T12:47:01Z</dcterms:modified>
</cp:coreProperties>
</file>